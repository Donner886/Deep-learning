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-learning\Deep-learning\Chapter04-Convolutional-Neural-Networks\DeepConvolutional_Models-CaseStudies\"/>
    </mc:Choice>
  </mc:AlternateContent>
  <xr:revisionPtr revIDLastSave="0" documentId="13_ncr:1_{DE4733A8-90F5-4E07-952E-EF6A03A7ABBF}" xr6:coauthVersionLast="47" xr6:coauthVersionMax="47" xr10:uidLastSave="{00000000-0000-0000-0000-000000000000}"/>
  <bookViews>
    <workbookView xWindow="-98" yWindow="-98" windowWidth="21795" windowHeight="13875" activeTab="1" xr2:uid="{CCDBED70-31EF-43E7-BAA9-99EBC844BBE9}"/>
  </bookViews>
  <sheets>
    <sheet name="Sheet1" sheetId="1" r:id="rId1"/>
    <sheet name="MobileNet V2 Full Architectu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3" i="1" l="1"/>
  <c r="J24" i="1" s="1"/>
  <c r="V23" i="1"/>
  <c r="V24" i="1" s="1"/>
  <c r="U23" i="1"/>
  <c r="U24" i="1" s="1"/>
  <c r="T23" i="1"/>
  <c r="T24" i="1" s="1"/>
  <c r="Q23" i="1"/>
  <c r="Q24" i="1" s="1"/>
  <c r="P23" i="1"/>
  <c r="P24" i="1" s="1"/>
  <c r="O23" i="1"/>
  <c r="O24" i="1" s="1"/>
  <c r="M23" i="1"/>
  <c r="M24" i="1" s="1"/>
  <c r="V9" i="1"/>
  <c r="R9" i="1"/>
  <c r="Q9" i="1"/>
  <c r="M9" i="1"/>
  <c r="M10" i="1" s="1"/>
  <c r="J9" i="1"/>
  <c r="J10" i="1" s="1"/>
  <c r="R11" i="1" s="1"/>
  <c r="L9" i="1"/>
  <c r="V26" i="1" l="1"/>
  <c r="J28" i="1" s="1"/>
  <c r="O28" i="1" l="1"/>
  <c r="V28" i="1"/>
  <c r="U28" i="1"/>
  <c r="T28" i="1"/>
  <c r="M28" i="1"/>
  <c r="Q28" i="1"/>
  <c r="P28" i="1"/>
</calcChain>
</file>

<file path=xl/sharedStrings.xml><?xml version="1.0" encoding="utf-8"?>
<sst xmlns="http://schemas.openxmlformats.org/spreadsheetml/2006/main" count="266" uniqueCount="206">
  <si>
    <t>FC</t>
    <phoneticPr fontId="3" type="noConversion"/>
  </si>
  <si>
    <t>w</t>
    <phoneticPr fontId="3" type="noConversion"/>
  </si>
  <si>
    <t>h</t>
    <phoneticPr fontId="3" type="noConversion"/>
  </si>
  <si>
    <t>s</t>
    <phoneticPr fontId="3" type="noConversion"/>
  </si>
  <si>
    <t>c</t>
    <phoneticPr fontId="3" type="noConversion"/>
  </si>
  <si>
    <t>Conv1</t>
    <phoneticPr fontId="3" type="noConversion"/>
  </si>
  <si>
    <t>Avg pool</t>
    <phoneticPr fontId="3" type="noConversion"/>
  </si>
  <si>
    <t>Conv2</t>
    <phoneticPr fontId="3" type="noConversion"/>
  </si>
  <si>
    <t>INPUT</t>
    <phoneticPr fontId="3" type="noConversion"/>
  </si>
  <si>
    <t>LeNet-5</t>
    <phoneticPr fontId="3" type="noConversion"/>
  </si>
  <si>
    <t>Sigmoid</t>
    <phoneticPr fontId="3" type="noConversion"/>
  </si>
  <si>
    <t>AlexNet</t>
    <phoneticPr fontId="3" type="noConversion"/>
  </si>
  <si>
    <t>Max-pool</t>
    <phoneticPr fontId="3" type="noConversion"/>
  </si>
  <si>
    <t>Conv3</t>
    <phoneticPr fontId="3" type="noConversion"/>
  </si>
  <si>
    <t>Conv5</t>
  </si>
  <si>
    <t>Conv4</t>
    <phoneticPr fontId="3" type="noConversion"/>
  </si>
  <si>
    <t>Max-Pool</t>
    <phoneticPr fontId="3" type="noConversion"/>
  </si>
  <si>
    <t>dense</t>
    <phoneticPr fontId="3" type="noConversion"/>
  </si>
  <si>
    <t>FC1</t>
    <phoneticPr fontId="3" type="noConversion"/>
  </si>
  <si>
    <t>FC2</t>
    <phoneticPr fontId="3" type="noConversion"/>
  </si>
  <si>
    <t>SoftMax</t>
    <phoneticPr fontId="3" type="noConversion"/>
  </si>
  <si>
    <t>Parameters</t>
    <phoneticPr fontId="3" type="noConversion"/>
  </si>
  <si>
    <t>Total sum</t>
    <phoneticPr fontId="3" type="noConversion"/>
  </si>
  <si>
    <t>% in Total</t>
    <phoneticPr fontId="3" type="noConversion"/>
  </si>
  <si>
    <t>VGG-16</t>
    <phoneticPr fontId="3" type="noConversion"/>
  </si>
  <si>
    <t>Residual Nets</t>
    <phoneticPr fontId="3" type="noConversion"/>
  </si>
  <si>
    <t xml:space="preserve">非常非常深的网络是很难训练的， 因为存在梯度消失或者梯度爆炸问题。  </t>
    <phoneticPr fontId="3" type="noConversion"/>
  </si>
  <si>
    <t>1. 残差连接（Residual Connection / Skip Connection)。 ResNets的核心创新是引入了跳跃连接</t>
    <phoneticPr fontId="3" type="noConversion"/>
  </si>
  <si>
    <t>输入 x</t>
  </si>
  <si>
    <t xml:space="preserve">  │</t>
  </si>
  <si>
    <t xml:space="preserve">  ├─────────────────────┐  (跳跃连接/shortcut)</t>
  </si>
  <si>
    <t xml:space="preserve">  │                     │</t>
  </si>
  <si>
    <t xml:space="preserve">  ↓                     │</t>
  </si>
  <si>
    <t>┌────────┐              │</t>
  </si>
  <si>
    <t>│ Conv层  │              │</t>
  </si>
  <si>
    <t>└────────┘              │</t>
  </si>
  <si>
    <t xml:space="preserve">  F(x) (残差映射)        │</t>
  </si>
  <si>
    <t xml:space="preserve">  └──────── + ──────────┘  (相加)</t>
  </si>
  <si>
    <t xml:space="preserve">            ↓</t>
  </si>
  <si>
    <t xml:space="preserve">        ReLU(x + F(x))</t>
  </si>
  <si>
    <t xml:space="preserve">   </t>
    <phoneticPr fontId="3" type="noConversion"/>
  </si>
  <si>
    <t xml:space="preserve">  │                                                                               │</t>
    <phoneticPr fontId="3" type="noConversion"/>
  </si>
  <si>
    <t>┌────────┐                                                      │</t>
    <phoneticPr fontId="3" type="noConversion"/>
  </si>
  <si>
    <t>│ Conv层                      │                                              │</t>
    <phoneticPr fontId="3" type="noConversion"/>
  </si>
  <si>
    <t>输出 = F(x) + x</t>
  </si>
  <si>
    <t>其中：</t>
  </si>
  <si>
    <t>2. 恒等映射 (Identity Mapping)</t>
  </si>
  <si>
    <t>当 F(x) = 0 时，输出 = x（恒等映射）</t>
  </si>
  <si>
    <t>最坏情况下，网络可以学习到恒等映射，不会降低性能</t>
  </si>
  <si>
    <t>x 是输入</t>
  </si>
  <si>
    <t>F(x) 是残差映射（通过卷积层学习）</t>
  </si>
  <si>
    <t>网络学习的是残差 F(x)，而不是直接学习目标映射 H(x)</t>
  </si>
  <si>
    <t>二、如何作用</t>
  </si>
  <si>
    <t>1. 梯度流动机制</t>
  </si>
  <si>
    <t>传统网络的问题：</t>
  </si>
  <si>
    <t>当网络很深时，多个小于1的梯度相乘 → 梯度消失</t>
  </si>
  <si>
    <t>ResNet的解决方案：</t>
  </si>
  <si>
    <t>1，传统网络</t>
    <phoneticPr fontId="3" type="noConversion"/>
  </si>
  <si>
    <t>2，ResNet网络</t>
    <phoneticPr fontId="3" type="noConversion"/>
  </si>
  <si>
    <t>二、单个残差块的梯度推导</t>
    <phoneticPr fontId="3" type="noConversion"/>
  </si>
  <si>
    <t>关键点： 梯度中有一个 "1" 项（来自恒等映射 xₗ），这确保梯度能够直接传播！</t>
  </si>
  <si>
    <t>三、多个残差块的梯度推导</t>
    <phoneticPr fontId="3" type="noConversion"/>
  </si>
  <si>
    <t>假设有 n 个残差块：</t>
  </si>
  <si>
    <r>
      <t>xₗ → [Conv] → xₗ₊</t>
    </r>
    <r>
      <rPr>
        <sz val="12"/>
        <color theme="1"/>
        <rFont val="等线"/>
        <family val="1"/>
        <charset val="1"/>
      </rPr>
      <t>₁</t>
    </r>
    <r>
      <rPr>
        <sz val="12"/>
        <color theme="1"/>
        <rFont val="Microsoft YaHei UI"/>
        <family val="2"/>
        <charset val="134"/>
      </rPr>
      <t xml:space="preserve"> → [Conv] → xₗ₊</t>
    </r>
    <r>
      <rPr>
        <sz val="12"/>
        <color theme="1"/>
        <rFont val="等线"/>
        <family val="1"/>
        <charset val="1"/>
      </rPr>
      <t>₂</t>
    </r>
    <r>
      <rPr>
        <sz val="12"/>
        <color theme="1"/>
        <rFont val="Microsoft YaHei UI"/>
        <family val="2"/>
        <charset val="134"/>
      </rPr>
      <t xml:space="preserve"> → ...  → xₗ₊ₙ，</t>
    </r>
    <r>
      <rPr>
        <b/>
        <sz val="12"/>
        <color theme="1"/>
        <rFont val="Microsoft YaHei UI"/>
        <family val="2"/>
        <charset val="134"/>
      </rPr>
      <t xml:space="preserve"> 其中每层 xₗ₊</t>
    </r>
    <r>
      <rPr>
        <b/>
        <sz val="12"/>
        <color theme="1"/>
        <rFont val="等线"/>
        <family val="1"/>
        <charset val="1"/>
      </rPr>
      <t>₁</t>
    </r>
    <r>
      <rPr>
        <b/>
        <sz val="12"/>
        <color theme="1"/>
        <rFont val="Microsoft YaHei UI"/>
        <family val="2"/>
        <charset val="134"/>
      </rPr>
      <t xml:space="preserve"> = F(xₗ)</t>
    </r>
    <phoneticPr fontId="3" type="noConversion"/>
  </si>
  <si>
    <r>
      <t xml:space="preserve">反向传播: 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x =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y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y/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>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₂</t>
    </r>
    <r>
      <rPr>
        <sz val="14"/>
        <color theme="1"/>
        <rFont val="Microsoft YaHei UI"/>
        <family val="2"/>
        <charset val="134"/>
      </rPr>
      <t xml:space="preserve"> × ... 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xₙ/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</si>
  <si>
    <r>
      <t>xₗ → [Residual Block] → 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→ [Residual Block] → xₗ₊</t>
    </r>
    <r>
      <rPr>
        <sz val="14"/>
        <color theme="1"/>
        <rFont val="等线"/>
        <family val="2"/>
        <charset val="134"/>
      </rPr>
      <t>₂</t>
    </r>
    <r>
      <rPr>
        <sz val="14"/>
        <color theme="1"/>
        <rFont val="Microsoft YaHei UI"/>
        <family val="2"/>
        <charset val="134"/>
      </rPr>
      <t xml:space="preserve"> → ... → xₗ₊ₙ， 每层：xₗ₊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= xₗ + F(xₗ) （跳跃连接）</t>
    </r>
  </si>
  <si>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Loss/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xₗ =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Loss/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>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</t>
    </r>
  </si>
  <si>
    <r>
      <t>xₗ → xₗ₊</t>
    </r>
    <r>
      <rPr>
        <sz val="11"/>
        <color theme="1"/>
        <rFont val="等线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→ xₗ₊</t>
    </r>
    <r>
      <rPr>
        <sz val="11"/>
        <color theme="1"/>
        <rFont val="等线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→ ... → xₗ₊ₙ</t>
    </r>
  </si>
  <si>
    <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 xml:space="preserve"> = xₗ + F(xₗ, Wₗ)</t>
    </r>
  </si>
  <si>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>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 [xₗ + F(xₗ, Wₗ)]</t>
    </r>
  </si>
  <si>
    <r>
      <t xml:space="preserve">         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</t>
    </r>
  </si>
  <si>
    <r>
      <t xml:space="preserve">          = 1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</t>
    </r>
  </si>
  <si>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Loss/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Loss/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 xml:space="preserve"> × (1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xₗ)</t>
    </r>
  </si>
  <si>
    <t>每个残差块：</t>
  </si>
  <si>
    <r>
      <t>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</t>
    </r>
  </si>
  <si>
    <r>
      <t>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= 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</t>
    </r>
  </si>
  <si>
    <r>
      <t>xₗ₊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 xml:space="preserve"> = 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+ F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)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 + F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)</t>
    </r>
  </si>
  <si>
    <t>...</t>
  </si>
  <si>
    <r>
      <t>xₗ₊ₙ = xₗ + Σᵢ₌₀</t>
    </r>
    <r>
      <rPr>
        <sz val="11"/>
        <color theme="1"/>
        <rFont val="Malgun Gothic Semilight"/>
        <family val="2"/>
        <charset val="134"/>
      </rPr>
      <t>ⁿ</t>
    </r>
    <r>
      <rPr>
        <sz val="11"/>
        <color theme="1"/>
        <rFont val="Microsoft YaHei UI"/>
        <family val="2"/>
        <charset val="134"/>
      </rPr>
      <t>⁻¹ Fᵢ₊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(xₗ₊ᵢ)</t>
    </r>
  </si>
  <si>
    <t>五、与传统网络对比</t>
    <phoneticPr fontId="3" type="noConversion"/>
  </si>
  <si>
    <r>
      <rPr>
        <sz val="11"/>
        <color theme="1"/>
        <rFont val="等线"/>
        <family val="2"/>
        <charset val="134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2"/>
        <charset val="134"/>
        <scheme val="minor"/>
      </rPr>
      <t>∂</t>
    </r>
    <r>
      <rPr>
        <sz val="11"/>
        <color theme="1"/>
        <rFont val="等线"/>
        <family val="3"/>
        <charset val="134"/>
        <scheme val="minor"/>
      </rPr>
      <t xml:space="preserve">xₗ =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₃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₃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₂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₂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₁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₁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</t>
    </r>
    <phoneticPr fontId="3" type="noConversion"/>
  </si>
  <si>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 xml:space="preserve">xₗ = 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xₗ₊ₙ × (1 + Σᵢ₌₀</t>
    </r>
    <r>
      <rPr>
        <sz val="11"/>
        <color theme="1"/>
        <rFont val="等线"/>
        <family val="2"/>
        <charset val="134"/>
        <scheme val="minor"/>
      </rPr>
      <t>ⁿ</t>
    </r>
    <r>
      <rPr>
        <sz val="11"/>
        <color theme="1"/>
        <rFont val="等线"/>
        <family val="3"/>
        <charset val="134"/>
        <scheme val="minor"/>
      </rPr>
      <t xml:space="preserve">⁻¹ 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Fᵢ₊</t>
    </r>
    <r>
      <rPr>
        <sz val="11"/>
        <color theme="1"/>
        <rFont val="等线"/>
        <family val="2"/>
        <charset val="134"/>
        <scheme val="minor"/>
      </rPr>
      <t>₁</t>
    </r>
    <r>
      <rPr>
        <sz val="11"/>
        <color theme="1"/>
        <rFont val="等线"/>
        <family val="3"/>
        <charset val="134"/>
        <scheme val="minor"/>
      </rPr>
      <t>(xₗ₊ᵢ)/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xₗ)</t>
    </r>
  </si>
  <si>
    <t>问题：</t>
  </si>
  <si>
    <t>纯乘法链：如果任何一个 ∂Fᵢ 很小（&lt;1），梯度会指数级衰减</t>
  </si>
  <si>
    <t>当层数很多时：0. 5 × 0.5 × 0.5 × ... → 0 （梯度消失）</t>
  </si>
  <si>
    <t>优势：</t>
  </si>
  <si>
    <t>梯度至少能够无损地传播回去</t>
  </si>
  <si>
    <t>不会出现梯度消失</t>
  </si>
  <si>
    <t>"1" 保证了梯度高速公路：即使所有 ∂Fᵢ → 0，梯度仍然是 ∂Loss/∂xₗ₊₃ × 1</t>
  </si>
  <si>
    <t>Network in Network (NiN)</t>
    <phoneticPr fontId="3" type="noConversion"/>
  </si>
  <si>
    <t>NiN在卷积神经网络发展史上一个非常关键的创新， 他的核心思想是： 与其在卷积层中使用简单的线性滤波器，</t>
    <phoneticPr fontId="3" type="noConversion"/>
  </si>
  <si>
    <t>不如在每个局部感受野 （视觉窗口）中嵌入一个“微型网络”来学习更复杂的特征。</t>
    <phoneticPr fontId="3" type="noConversion"/>
  </si>
  <si>
    <t>MobileNet</t>
    <phoneticPr fontId="3" type="noConversion"/>
  </si>
  <si>
    <t xml:space="preserve">MobileNet的核心思想是： 既然手机的算力有限， 我们能不能把复杂的卷积操作拆解开， 用更少的计算量实现差不多的效果。 </t>
    <phoneticPr fontId="3" type="noConversion"/>
  </si>
  <si>
    <t>卷积层与卷积计算过程： MobileNet的精髓在于 深度可分离卷积 （Depthwise Separable Convolution)。 他将传统的卷积分成了两步处理</t>
    <phoneticPr fontId="3" type="noConversion"/>
  </si>
  <si>
    <t>1. 第一步： 逐通道卷积 Depthwise Convolution, DW</t>
    <phoneticPr fontId="3" type="noConversion"/>
  </si>
  <si>
    <t>2. 第二步：逐点卷积 Pointwise Covolution , PW</t>
    <phoneticPr fontId="3" type="noConversion"/>
  </si>
  <si>
    <t xml:space="preserve">计算量： 为了让图片通过这一层网络， 计算机到底做多少次数学运算（加法 + 乘法) </t>
    <phoneticPr fontId="3" type="noConversion"/>
  </si>
  <si>
    <t xml:space="preserve">做法： 假设输入图片有RGB三个通道， 传统的卷积核会同时看RGB三个颜色， 比如kenel 3*3*3  * output 4*4*5 。 </t>
    <phoneticPr fontId="3" type="noConversion"/>
  </si>
  <si>
    <t>而Depthwise Convolution(DW)卷积给每个通道配置一个专用的卷积核，R通道用R卷积核， B通道只用B卷积核， G通道只用G通道卷积核</t>
    <phoneticPr fontId="3" type="noConversion"/>
  </si>
  <si>
    <t>目的： 提取每个通道的空间特征，但不进行通道间的特征融合</t>
    <phoneticPr fontId="3" type="noConversion"/>
  </si>
  <si>
    <t>使用1*1大小的卷积核， 把第一步提取出的各个通道的特征图串起来， 进行融合并改变输出通道的数量</t>
    <phoneticPr fontId="3" type="noConversion"/>
  </si>
  <si>
    <t>计算过程对比（公式简单化）：</t>
  </si>
  <si>
    <t>假设：</t>
    <phoneticPr fontId="3" type="noConversion"/>
  </si>
  <si>
    <t>k×k：卷积核的宽和高（例如 3x3）。</t>
  </si>
  <si>
    <t>M：输入通道数。</t>
  </si>
  <si>
    <t>N：输出通道数。</t>
  </si>
  <si>
    <t>Hout×Wout：输出特征图的高和宽。</t>
  </si>
  <si>
    <t>标准卷积计算量  = k*k*M*Hout*Wout*N</t>
    <phoneticPr fontId="3" type="noConversion"/>
  </si>
  <si>
    <t>修正后的 MobileNet 计算量（深度可分离卷积）</t>
    <phoneticPr fontId="3" type="noConversion"/>
  </si>
  <si>
    <t xml:space="preserve">同样基于输出尺寸， MobileNet的两部计算量如下： </t>
    <phoneticPr fontId="3" type="noConversion"/>
  </si>
  <si>
    <t xml:space="preserve">1， DW: 输出尺寸仍然为： Hout * Wout ,  但是一个卷积核只负责一个通道 k*k*1; 计算量为： k * k *  Hout * Wout * M </t>
    <phoneticPr fontId="3" type="noConversion"/>
  </si>
  <si>
    <t>2,   PW: 使用 1*1 卷积核将M 变成 N； 计算量为： 1*1*M*Hout*Wout*N</t>
    <phoneticPr fontId="3" type="noConversion"/>
  </si>
  <si>
    <t>总计算量为：   k * k *  Hout * Wout * M  +  1*1*M*Hout*Wout*N</t>
    <phoneticPr fontId="3" type="noConversion"/>
  </si>
  <si>
    <t>3. 比例关系（为什么它更轻量？）</t>
  </si>
  <si>
    <t>我们将 MobileNet 的计算量除以标准卷积：</t>
  </si>
  <si>
    <t>(Hout⋅Wout⋅M⋅k⋅k + Hout⋅Wout⋅M⋅N) / Hout⋅Wout⋅M⋅N⋅k⋅k=1/N+1/k2</t>
    <phoneticPr fontId="3" type="noConversion"/>
  </si>
  <si>
    <t>因为输出通道数 N 通常很大（比如 128, 256），所以 1/N 趋近于 0。</t>
    <phoneticPr fontId="3" type="noConversion"/>
  </si>
  <si>
    <t>如果卷积核 k=3，那么计算量大约就是标准卷积的 1/9 左右。</t>
  </si>
  <si>
    <t>适合自己（理解）的depthwise convolution, DW</t>
    <phoneticPr fontId="3" type="noConversion"/>
  </si>
  <si>
    <t>1. 深度卷积 (Depthwise Convolution, DW)</t>
  </si>
  <si>
    <t>正如你所说，DW 的核心是一个卷积核只管一个通道。</t>
  </si>
  <si>
    <t>ii. 滑动生成输出尺寸为 Hout×Wout 的特征图。</t>
  </si>
  <si>
    <t>iii. 这个过程在 M 个通道上独立重复。</t>
  </si>
  <si>
    <t>卷积核大小：(k×k×1) —— 这里的 1 强调了它不跨通道。</t>
  </si>
  <si>
    <t>计算逻辑：</t>
  </si>
  <si>
    <t>i. 单个 (k×k) 的核在 一个 通道平面上滑动。</t>
  </si>
  <si>
    <t>计算量公式： k×k×Hout×Wout×M</t>
  </si>
  <si>
    <t>这个顺序完美体现了：单核尺寸 × 滑动次数 × 通道数。</t>
  </si>
  <si>
    <t>2. 逐点卷积 (Pointwise Convolution, PW)</t>
  </si>
  <si>
    <t>在 DW 提取完空间特征后，PW 负责把 M 个通道的信息融合到 N 个通道中。</t>
  </si>
  <si>
    <t>卷积核大小：(1×1×M) —— 这里的 M 是为了融合所有通道。</t>
  </si>
  <si>
    <t>i. 单个 (1×1×M) 的核在空间上滑过 Hout×Wout 个位置。</t>
  </si>
  <si>
    <t>ii. 为了得到 N 个输出通道，需要 N 个这样的核。</t>
  </si>
  <si>
    <t>计算量公式： 1×1×M×Hout×Wout×N</t>
  </si>
  <si>
    <t>通常简写为：M×N×Hout×Wout。</t>
  </si>
  <si>
    <t>卷积类型</t>
  </si>
  <si>
    <t>物理含义拆解</t>
  </si>
  <si>
    <t>标准卷积</t>
  </si>
  <si>
    <t>(核体积) × (空间滑动) × (输出通道)</t>
  </si>
  <si>
    <t>MobileNet (DW)</t>
  </si>
  <si>
    <t>(单层核) × (空间滑动) × (输入通道)</t>
  </si>
  <si>
    <t>MobileNet (PW)</t>
  </si>
  <si>
    <t>(1x1体积) × (输出通道) × (空间滑动)</t>
  </si>
  <si>
    <t>MobileNet V2 Full Architecture</t>
    <phoneticPr fontId="3" type="noConversion"/>
  </si>
  <si>
    <t>MobileNet V2在V1的基础上进行了重大的改进， 核心引入了“倒残差结构” inverted residuals 和 “线性瓶颈” Linear Bottlenecks</t>
    <phoneticPr fontId="3" type="noConversion"/>
  </si>
  <si>
    <t>Expansion</t>
    <phoneticPr fontId="3" type="noConversion"/>
  </si>
  <si>
    <t>Pool, FC, SoftMax</t>
    <phoneticPr fontId="3" type="noConversion"/>
  </si>
  <si>
    <t>Depthwise</t>
    <phoneticPr fontId="3" type="noConversion"/>
  </si>
  <si>
    <t>Residual Connection</t>
    <phoneticPr fontId="3" type="noConversion"/>
  </si>
  <si>
    <t>n * n * 3</t>
    <phoneticPr fontId="3" type="noConversion"/>
  </si>
  <si>
    <t>1 * 1 * 3</t>
    <phoneticPr fontId="3" type="noConversion"/>
  </si>
  <si>
    <t>18 个</t>
    <phoneticPr fontId="3" type="noConversion"/>
  </si>
  <si>
    <t>3个</t>
    <phoneticPr fontId="3" type="noConversion"/>
  </si>
  <si>
    <t>n * n * 18</t>
    <phoneticPr fontId="3" type="noConversion"/>
  </si>
  <si>
    <t>Pointwise</t>
    <phoneticPr fontId="3" type="noConversion"/>
  </si>
  <si>
    <t>Steps</t>
    <phoneticPr fontId="3" type="noConversion"/>
  </si>
  <si>
    <t xml:space="preserve">输入特征图： </t>
    <phoneticPr fontId="3" type="noConversion"/>
  </si>
  <si>
    <t>这是上一层传来的数据</t>
    <phoneticPr fontId="3" type="noConversion"/>
  </si>
  <si>
    <t>通常通道数量较少的特征图</t>
    <phoneticPr fontId="3" type="noConversion"/>
  </si>
  <si>
    <t>1*1 卷积：将特征图的通道数据“扩展“或”升维“，</t>
    <phoneticPr fontId="3" type="noConversion"/>
  </si>
  <si>
    <t xml:space="preserve">通常是通常的6倍。 </t>
    <phoneticPr fontId="3" type="noConversion"/>
  </si>
  <si>
    <t>BN + ReLU: 进行批归一化和激活</t>
    <phoneticPr fontId="3" type="noConversion"/>
  </si>
  <si>
    <t>3x3 卷积：在高维空间中进行逐通道的卷积，</t>
    <phoneticPr fontId="3" type="noConversion"/>
  </si>
  <si>
    <t>高效地提取空间特征。</t>
  </si>
  <si>
    <t>1. BN + ReLU6：再次进行归一化和激活。</t>
  </si>
  <si>
    <t>1x1 卷积：</t>
    <phoneticPr fontId="3" type="noConversion"/>
  </si>
  <si>
    <t>将通道数“投影”或“降维”回原始的“窄”状态</t>
    <phoneticPr fontId="3" type="noConversion"/>
  </si>
  <si>
    <t>，形成瓶颈。</t>
    <phoneticPr fontId="3" type="noConversion"/>
  </si>
  <si>
    <t>BN：进行最后的批归一化</t>
  </si>
  <si>
    <t>步骤 4: 残差连接 (Residual Add)</t>
  </si>
  <si>
    <t>1. 将处理后的输出与最开始的输入特征图进行逐元素的相加（仅在输入输出尺寸相同时）。这构成了“残差连接”，允许梯度更好地回传，避免网络退化。</t>
  </si>
  <si>
    <t>步骤 1: 扩展 (Expansion)</t>
    <phoneticPr fontId="3" type="noConversion"/>
  </si>
  <si>
    <t>步骤 2: 深度卷积 (Depthwise Conv)</t>
  </si>
  <si>
    <t>步骤 3: 投影 (Projection) / 线性瓶颈</t>
    <phoneticPr fontId="3" type="noConversion"/>
  </si>
  <si>
    <t>块编号</t>
  </si>
  <si>
    <t>输入尺寸</t>
  </si>
  <si>
    <t>算子 (Operator)</t>
  </si>
  <si>
    <t>扩展倍数 (t)</t>
  </si>
  <si>
    <t>输出通道 (c)</t>
  </si>
  <si>
    <t>步长 (s)</t>
  </si>
  <si>
    <t>备注</t>
  </si>
  <si>
    <t>-</t>
  </si>
  <si>
    <t>224x224x3</t>
  </si>
  <si>
    <t>标准 Conv2d</t>
  </si>
  <si>
    <t>起始卷积层</t>
  </si>
  <si>
    <t>112x112x32</t>
  </si>
  <si>
    <t>Bottleneck</t>
  </si>
  <si>
    <t>112x112x16</t>
  </si>
  <si>
    <t>下采样</t>
  </si>
  <si>
    <t>56x56x24</t>
  </si>
  <si>
    <t>28x28x32</t>
  </si>
  <si>
    <t>14x14x64</t>
  </si>
  <si>
    <t>14x14x96</t>
  </si>
  <si>
    <t>7x7x160</t>
  </si>
  <si>
    <t>7x7x320</t>
  </si>
  <si>
    <t>1x1 Conv2d</t>
  </si>
  <si>
    <t>收尾卷积层</t>
  </si>
  <si>
    <t>7x7x1280</t>
  </si>
  <si>
    <t>Avg Pool 7x7</t>
  </si>
  <si>
    <t>全局平均池化</t>
  </si>
  <si>
    <t>1x1x1280</t>
  </si>
  <si>
    <t>k (类别数)</t>
  </si>
  <si>
    <t>分类器层 (FC)</t>
  </si>
  <si>
    <t>Bottleneck</t>
    <phoneticPr fontId="3" type="noConversion"/>
  </si>
  <si>
    <t>17times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</si>
</sst>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0.0%"/>
  </numFmts>
  <fonts count="35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28"/>
      <scheme val="minor"/>
    </font>
    <font>
      <sz val="11"/>
      <color theme="1"/>
      <name val="等线"/>
      <family val="2"/>
      <charset val="134"/>
    </font>
    <font>
      <sz val="11"/>
      <color theme="1"/>
      <name val="等线"/>
      <family val="3"/>
      <charset val="134"/>
      <scheme val="minor"/>
    </font>
    <font>
      <sz val="12"/>
      <color theme="1"/>
      <name val="Microsoft YaHei UI"/>
      <family val="2"/>
      <charset val="134"/>
    </font>
    <font>
      <sz val="12"/>
      <color theme="1"/>
      <name val="等线"/>
      <family val="1"/>
      <charset val="1"/>
    </font>
    <font>
      <b/>
      <sz val="12"/>
      <color theme="1"/>
      <name val="Microsoft YaHei UI"/>
      <family val="2"/>
      <charset val="134"/>
    </font>
    <font>
      <b/>
      <sz val="12"/>
      <color theme="1"/>
      <name val="等线"/>
      <family val="1"/>
      <charset val="1"/>
    </font>
    <font>
      <sz val="11"/>
      <color theme="1"/>
      <name val="Microsoft YaHei UI"/>
      <family val="2"/>
      <charset val="134"/>
    </font>
    <font>
      <b/>
      <sz val="14"/>
      <color theme="1"/>
      <name val="Microsoft YaHei UI"/>
      <family val="2"/>
      <charset val="134"/>
    </font>
    <font>
      <b/>
      <sz val="11"/>
      <color theme="1"/>
      <name val="Microsoft YaHei UI"/>
      <family val="2"/>
      <charset val="134"/>
    </font>
    <font>
      <b/>
      <sz val="11"/>
      <color rgb="FF00B050"/>
      <name val="Microsoft YaHei UI"/>
      <family val="2"/>
      <charset val="134"/>
    </font>
    <font>
      <sz val="14"/>
      <color theme="1"/>
      <name val="Microsoft YaHei UI"/>
      <family val="2"/>
      <charset val="134"/>
    </font>
    <font>
      <sz val="14"/>
      <color rgb="FF010409"/>
      <name val="Microsoft YaHei UI"/>
      <family val="2"/>
      <charset val="134"/>
    </font>
    <font>
      <sz val="14"/>
      <color theme="1"/>
      <name val="等线"/>
      <family val="3"/>
      <charset val="128"/>
    </font>
    <font>
      <sz val="14"/>
      <color theme="1"/>
      <name val="等线"/>
      <family val="2"/>
      <charset val="134"/>
    </font>
    <font>
      <sz val="12"/>
      <color theme="1"/>
      <name val="等线"/>
      <family val="2"/>
      <charset val="134"/>
    </font>
    <font>
      <sz val="12"/>
      <color theme="1"/>
      <name val="等线"/>
      <family val="3"/>
      <charset val="128"/>
    </font>
    <font>
      <sz val="11"/>
      <color theme="1"/>
      <name val="Malgun Gothic Semilight"/>
      <family val="2"/>
      <charset val="134"/>
    </font>
    <font>
      <sz val="11"/>
      <color theme="1"/>
      <name val="等线"/>
      <family val="2"/>
      <charset val="1"/>
      <scheme val="minor"/>
    </font>
    <font>
      <sz val="10"/>
      <color rgb="FF010409"/>
      <name val="Segoe UI"/>
      <family val="2"/>
    </font>
    <font>
      <sz val="10"/>
      <color rgb="FF010409"/>
      <name val="Segoe UI"/>
      <family val="2"/>
      <charset val="134"/>
    </font>
    <font>
      <sz val="10"/>
      <color rgb="FF010409"/>
      <name val="宋体"/>
      <family val="2"/>
      <charset val="134"/>
    </font>
    <font>
      <sz val="11"/>
      <color theme="1"/>
      <name val="HarmonyOS Sans SC"/>
      <family val="3"/>
      <charset val="134"/>
    </font>
    <font>
      <i/>
      <sz val="9"/>
      <color theme="1"/>
      <name val="Microsoft YaHei UI"/>
      <family val="2"/>
      <charset val="134"/>
    </font>
    <font>
      <sz val="9"/>
      <color theme="1"/>
      <name val="Microsoft YaHei UI"/>
      <family val="2"/>
      <charset val="134"/>
    </font>
    <font>
      <sz val="10"/>
      <color rgb="FF010409"/>
      <name val="Segoe UI"/>
      <family val="2"/>
    </font>
    <font>
      <b/>
      <sz val="11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8"/>
      <color theme="1"/>
      <name val="等线"/>
      <family val="2"/>
      <charset val="134"/>
      <scheme val="minor"/>
    </font>
    <font>
      <b/>
      <sz val="16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6EAEF"/>
        <bgColor indexed="64"/>
      </patternFill>
    </fill>
    <fill>
      <patternFill patternType="solid">
        <fgColor indexed="65"/>
        <bgColor theme="0"/>
      </patternFill>
    </fill>
    <fill>
      <patternFill patternType="solid">
        <fgColor theme="0"/>
        <bgColor theme="0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ashed">
        <color indexed="64"/>
      </top>
      <bottom/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43" fontId="11" fillId="0" borderId="0" xfId="1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1" fillId="0" borderId="0" xfId="1" applyNumberFormat="1" applyFont="1">
      <alignment vertical="center"/>
    </xf>
    <xf numFmtId="176" fontId="11" fillId="0" borderId="0" xfId="0" applyNumberFormat="1" applyFont="1">
      <alignment vertical="center"/>
    </xf>
    <xf numFmtId="0" fontId="14" fillId="0" borderId="0" xfId="0" applyFont="1">
      <alignment vertical="center"/>
    </xf>
    <xf numFmtId="177" fontId="14" fillId="0" borderId="0" xfId="2" applyNumberFormat="1" applyFont="1">
      <alignment vertical="center"/>
    </xf>
    <xf numFmtId="0" fontId="15" fillId="0" borderId="0" xfId="0" applyFont="1">
      <alignment vertical="center"/>
    </xf>
    <xf numFmtId="0" fontId="11" fillId="0" borderId="2" xfId="0" applyFont="1" applyBorder="1">
      <alignment vertical="center"/>
    </xf>
    <xf numFmtId="0" fontId="11" fillId="0" borderId="3" xfId="0" applyFont="1" applyBorder="1">
      <alignment vertical="center"/>
    </xf>
    <xf numFmtId="0" fontId="11" fillId="0" borderId="4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6" fillId="0" borderId="0" xfId="0" applyFont="1" applyAlignment="1">
      <alignment horizontal="left" vertical="center" indent="1"/>
    </xf>
    <xf numFmtId="0" fontId="15" fillId="0" borderId="5" xfId="0" applyFont="1" applyBorder="1">
      <alignment vertical="center"/>
    </xf>
    <xf numFmtId="0" fontId="13" fillId="0" borderId="7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8" xfId="0" applyFont="1" applyBorder="1">
      <alignment vertical="center"/>
    </xf>
    <xf numFmtId="0" fontId="15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11" fillId="0" borderId="0" xfId="0" applyFont="1" applyAlignment="1">
      <alignment horizontal="center"/>
    </xf>
    <xf numFmtId="0" fontId="26" fillId="0" borderId="0" xfId="0" applyFont="1" applyAlignment="1">
      <alignment horizontal="left" vertical="center"/>
    </xf>
    <xf numFmtId="0" fontId="27" fillId="0" borderId="0" xfId="0" applyFont="1">
      <alignment vertical="center"/>
    </xf>
    <xf numFmtId="0" fontId="28" fillId="0" borderId="9" xfId="0" applyFont="1" applyBorder="1">
      <alignment vertical="center"/>
    </xf>
    <xf numFmtId="0" fontId="29" fillId="2" borderId="0" xfId="0" applyFont="1" applyFill="1" applyAlignment="1">
      <alignment horizontal="left" vertical="center" wrapText="1"/>
    </xf>
    <xf numFmtId="0" fontId="23" fillId="2" borderId="0" xfId="0" applyFont="1" applyFill="1" applyAlignment="1">
      <alignment horizontal="left" vertical="center" wrapText="1"/>
    </xf>
    <xf numFmtId="0" fontId="29" fillId="3" borderId="0" xfId="0" applyFont="1" applyFill="1" applyAlignment="1">
      <alignment horizontal="left" vertical="center" wrapText="1"/>
    </xf>
    <xf numFmtId="0" fontId="23" fillId="3" borderId="0" xfId="0" applyFont="1" applyFill="1" applyAlignment="1">
      <alignment horizontal="left" vertical="center" wrapText="1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>
      <alignment vertical="center"/>
    </xf>
    <xf numFmtId="0" fontId="0" fillId="0" borderId="1" xfId="0" applyBorder="1">
      <alignment vertical="center"/>
    </xf>
    <xf numFmtId="0" fontId="33" fillId="0" borderId="0" xfId="0" applyFon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34" fillId="0" borderId="0" xfId="0" applyFont="1">
      <alignment vertical="center"/>
    </xf>
    <xf numFmtId="0" fontId="0" fillId="0" borderId="0" xfId="0" applyAlignment="1">
      <alignment horizontal="right" vertical="center"/>
    </xf>
    <xf numFmtId="0" fontId="15" fillId="6" borderId="0" xfId="0" applyFont="1" applyFill="1">
      <alignment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171450</xdr:colOff>
      <xdr:row>10</xdr:row>
      <xdr:rowOff>85725</xdr:rowOff>
    </xdr:from>
    <xdr:to>
      <xdr:col>18</xdr:col>
      <xdr:colOff>114300</xdr:colOff>
      <xdr:row>16</xdr:row>
      <xdr:rowOff>142875</xdr:rowOff>
    </xdr:to>
    <xdr:grpSp>
      <xdr:nvGrpSpPr>
        <xdr:cNvPr id="39" name="组合 38">
          <a:extLst>
            <a:ext uri="{FF2B5EF4-FFF2-40B4-BE49-F238E27FC236}">
              <a16:creationId xmlns:a16="http://schemas.microsoft.com/office/drawing/2014/main" id="{BC561B64-3A0C-9ADE-3BB0-5DCEE191DFC3}"/>
            </a:ext>
          </a:extLst>
        </xdr:cNvPr>
        <xdr:cNvGrpSpPr/>
      </xdr:nvGrpSpPr>
      <xdr:grpSpPr>
        <a:xfrm>
          <a:off x="14868525" y="1885950"/>
          <a:ext cx="1000125" cy="1162050"/>
          <a:chOff x="7620000" y="1695450"/>
          <a:chExt cx="1000125" cy="1190625"/>
        </a:xfrm>
      </xdr:grpSpPr>
      <xdr:sp macro="" textlink="">
        <xdr:nvSpPr>
          <xdr:cNvPr id="6" name="矩形 5">
            <a:extLst>
              <a:ext uri="{FF2B5EF4-FFF2-40B4-BE49-F238E27FC236}">
                <a16:creationId xmlns:a16="http://schemas.microsoft.com/office/drawing/2014/main" id="{15B61A2A-3B3B-481D-BB56-BDEACFEDDF9E}"/>
              </a:ext>
            </a:extLst>
          </xdr:cNvPr>
          <xdr:cNvSpPr/>
        </xdr:nvSpPr>
        <xdr:spPr>
          <a:xfrm>
            <a:off x="7772400" y="1695450"/>
            <a:ext cx="847725" cy="981075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5" name="矩形 4">
            <a:extLst>
              <a:ext uri="{FF2B5EF4-FFF2-40B4-BE49-F238E27FC236}">
                <a16:creationId xmlns:a16="http://schemas.microsoft.com/office/drawing/2014/main" id="{53CC0BCA-6857-47F2-ABB1-3677ACD0CD47}"/>
              </a:ext>
            </a:extLst>
          </xdr:cNvPr>
          <xdr:cNvSpPr/>
        </xdr:nvSpPr>
        <xdr:spPr>
          <a:xfrm>
            <a:off x="7677150" y="1781175"/>
            <a:ext cx="847725" cy="98107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4" name="矩形 3">
            <a:extLst>
              <a:ext uri="{FF2B5EF4-FFF2-40B4-BE49-F238E27FC236}">
                <a16:creationId xmlns:a16="http://schemas.microsoft.com/office/drawing/2014/main" id="{0BCCB58D-32AF-18D6-0735-5D16072F6107}"/>
              </a:ext>
            </a:extLst>
          </xdr:cNvPr>
          <xdr:cNvSpPr/>
        </xdr:nvSpPr>
        <xdr:spPr>
          <a:xfrm>
            <a:off x="7620000" y="1905000"/>
            <a:ext cx="847725" cy="981075"/>
          </a:xfrm>
          <a:prstGeom prst="rect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</xdr:grpSp>
    <xdr:clientData/>
  </xdr:twoCellAnchor>
  <xdr:twoCellAnchor>
    <xdr:from>
      <xdr:col>12</xdr:col>
      <xdr:colOff>57150</xdr:colOff>
      <xdr:row>13</xdr:row>
      <xdr:rowOff>38100</xdr:rowOff>
    </xdr:from>
    <xdr:to>
      <xdr:col>13</xdr:col>
      <xdr:colOff>238125</xdr:colOff>
      <xdr:row>13</xdr:row>
      <xdr:rowOff>38100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F50D8253-D737-92FE-E1FE-B375AC5A3F93}"/>
            </a:ext>
          </a:extLst>
        </xdr:cNvPr>
        <xdr:cNvCxnSpPr/>
      </xdr:nvCxnSpPr>
      <xdr:spPr>
        <a:xfrm>
          <a:off x="6600825" y="2200275"/>
          <a:ext cx="828675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485775</xdr:colOff>
      <xdr:row>13</xdr:row>
      <xdr:rowOff>28575</xdr:rowOff>
    </xdr:from>
    <xdr:to>
      <xdr:col>20</xdr:col>
      <xdr:colOff>19050</xdr:colOff>
      <xdr:row>13</xdr:row>
      <xdr:rowOff>28575</xdr:rowOff>
    </xdr:to>
    <xdr:cxnSp macro="">
      <xdr:nvCxnSpPr>
        <xdr:cNvPr id="9" name="直接箭头连接符 8">
          <a:extLst>
            <a:ext uri="{FF2B5EF4-FFF2-40B4-BE49-F238E27FC236}">
              <a16:creationId xmlns:a16="http://schemas.microsoft.com/office/drawing/2014/main" id="{E3460456-726D-456B-91FC-47614DB9958C}"/>
            </a:ext>
          </a:extLst>
        </xdr:cNvPr>
        <xdr:cNvCxnSpPr/>
      </xdr:nvCxnSpPr>
      <xdr:spPr>
        <a:xfrm>
          <a:off x="9439275" y="2238375"/>
          <a:ext cx="828675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466725</xdr:colOff>
      <xdr:row>12</xdr:row>
      <xdr:rowOff>152400</xdr:rowOff>
    </xdr:from>
    <xdr:to>
      <xdr:col>21</xdr:col>
      <xdr:colOff>200024</xdr:colOff>
      <xdr:row>14</xdr:row>
      <xdr:rowOff>123825</xdr:rowOff>
    </xdr:to>
    <xdr:sp macro="" textlink="">
      <xdr:nvSpPr>
        <xdr:cNvPr id="10" name="立方体 9">
          <a:extLst>
            <a:ext uri="{FF2B5EF4-FFF2-40B4-BE49-F238E27FC236}">
              <a16:creationId xmlns:a16="http://schemas.microsoft.com/office/drawing/2014/main" id="{54918524-1991-4FC8-809C-3280F997B37E}"/>
            </a:ext>
          </a:extLst>
        </xdr:cNvPr>
        <xdr:cNvSpPr/>
      </xdr:nvSpPr>
      <xdr:spPr>
        <a:xfrm>
          <a:off x="10715625" y="2133600"/>
          <a:ext cx="380999" cy="381000"/>
        </a:xfrm>
        <a:prstGeom prst="cube">
          <a:avLst>
            <a:gd name="adj" fmla="val 7865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11</xdr:col>
      <xdr:colOff>152400</xdr:colOff>
      <xdr:row>12</xdr:row>
      <xdr:rowOff>1</xdr:rowOff>
    </xdr:from>
    <xdr:to>
      <xdr:col>12</xdr:col>
      <xdr:colOff>76199</xdr:colOff>
      <xdr:row>14</xdr:row>
      <xdr:rowOff>152401</xdr:rowOff>
    </xdr:to>
    <xdr:sp macro="" textlink="">
      <xdr:nvSpPr>
        <xdr:cNvPr id="11" name="立方体 10">
          <a:extLst>
            <a:ext uri="{FF2B5EF4-FFF2-40B4-BE49-F238E27FC236}">
              <a16:creationId xmlns:a16="http://schemas.microsoft.com/office/drawing/2014/main" id="{90777D36-19D2-4DB4-85F0-78BCDC809FA8}"/>
            </a:ext>
          </a:extLst>
        </xdr:cNvPr>
        <xdr:cNvSpPr/>
      </xdr:nvSpPr>
      <xdr:spPr>
        <a:xfrm>
          <a:off x="6048375" y="1981201"/>
          <a:ext cx="571499" cy="561975"/>
        </a:xfrm>
        <a:prstGeom prst="cube">
          <a:avLst>
            <a:gd name="adj" fmla="val 7865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  <xdr:twoCellAnchor>
    <xdr:from>
      <xdr:col>21</xdr:col>
      <xdr:colOff>371475</xdr:colOff>
      <xdr:row>13</xdr:row>
      <xdr:rowOff>66675</xdr:rowOff>
    </xdr:from>
    <xdr:to>
      <xdr:col>25</xdr:col>
      <xdr:colOff>180975</xdr:colOff>
      <xdr:row>13</xdr:row>
      <xdr:rowOff>66675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66274DF4-1825-44CD-9AA1-F7E1E8224C69}"/>
            </a:ext>
          </a:extLst>
        </xdr:cNvPr>
        <xdr:cNvCxnSpPr/>
      </xdr:nvCxnSpPr>
      <xdr:spPr>
        <a:xfrm>
          <a:off x="11268075" y="2276475"/>
          <a:ext cx="2400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266700</xdr:colOff>
      <xdr:row>13</xdr:row>
      <xdr:rowOff>0</xdr:rowOff>
    </xdr:from>
    <xdr:to>
      <xdr:col>10</xdr:col>
      <xdr:colOff>123825</xdr:colOff>
      <xdr:row>13</xdr:row>
      <xdr:rowOff>9525</xdr:rowOff>
    </xdr:to>
    <xdr:cxnSp macro="">
      <xdr:nvCxnSpPr>
        <xdr:cNvPr id="15" name="直接箭头连接符 14">
          <a:extLst>
            <a:ext uri="{FF2B5EF4-FFF2-40B4-BE49-F238E27FC236}">
              <a16:creationId xmlns:a16="http://schemas.microsoft.com/office/drawing/2014/main" id="{6772137B-0AD5-45E8-80ED-31419562838E}"/>
            </a:ext>
          </a:extLst>
        </xdr:cNvPr>
        <xdr:cNvCxnSpPr/>
      </xdr:nvCxnSpPr>
      <xdr:spPr>
        <a:xfrm>
          <a:off x="4095750" y="2209800"/>
          <a:ext cx="143827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542925</xdr:colOff>
      <xdr:row>5</xdr:row>
      <xdr:rowOff>76200</xdr:rowOff>
    </xdr:from>
    <xdr:to>
      <xdr:col>16</xdr:col>
      <xdr:colOff>152400</xdr:colOff>
      <xdr:row>13</xdr:row>
      <xdr:rowOff>9525</xdr:rowOff>
    </xdr:to>
    <xdr:cxnSp macro="">
      <xdr:nvCxnSpPr>
        <xdr:cNvPr id="30" name="连接符: 肘形 29">
          <a:extLst>
            <a:ext uri="{FF2B5EF4-FFF2-40B4-BE49-F238E27FC236}">
              <a16:creationId xmlns:a16="http://schemas.microsoft.com/office/drawing/2014/main" id="{1F79D64B-F122-C702-C68A-9BDFA5ABC4E4}"/>
            </a:ext>
          </a:extLst>
        </xdr:cNvPr>
        <xdr:cNvCxnSpPr/>
      </xdr:nvCxnSpPr>
      <xdr:spPr>
        <a:xfrm flipV="1">
          <a:off x="5305425" y="847725"/>
          <a:ext cx="3095625" cy="1371600"/>
        </a:xfrm>
        <a:prstGeom prst="bentConnector3">
          <a:avLst>
            <a:gd name="adj1" fmla="val 292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123825</xdr:colOff>
      <xdr:row>5</xdr:row>
      <xdr:rowOff>85725</xdr:rowOff>
    </xdr:from>
    <xdr:to>
      <xdr:col>22</xdr:col>
      <xdr:colOff>85725</xdr:colOff>
      <xdr:row>12</xdr:row>
      <xdr:rowOff>142875</xdr:rowOff>
    </xdr:to>
    <xdr:cxnSp macro="">
      <xdr:nvCxnSpPr>
        <xdr:cNvPr id="32" name="连接符: 肘形 31">
          <a:extLst>
            <a:ext uri="{FF2B5EF4-FFF2-40B4-BE49-F238E27FC236}">
              <a16:creationId xmlns:a16="http://schemas.microsoft.com/office/drawing/2014/main" id="{EDF9F477-8343-4798-AA2D-379CBE7E741D}"/>
            </a:ext>
          </a:extLst>
        </xdr:cNvPr>
        <xdr:cNvCxnSpPr/>
      </xdr:nvCxnSpPr>
      <xdr:spPr>
        <a:xfrm>
          <a:off x="8372475" y="857250"/>
          <a:ext cx="3257550" cy="1266825"/>
        </a:xfrm>
        <a:prstGeom prst="bentConnector3">
          <a:avLst>
            <a:gd name="adj1" fmla="val 10058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476250</xdr:colOff>
      <xdr:row>7</xdr:row>
      <xdr:rowOff>85725</xdr:rowOff>
    </xdr:from>
    <xdr:to>
      <xdr:col>7</xdr:col>
      <xdr:colOff>104776</xdr:colOff>
      <xdr:row>18</xdr:row>
      <xdr:rowOff>9524</xdr:rowOff>
    </xdr:to>
    <xdr:grpSp>
      <xdr:nvGrpSpPr>
        <xdr:cNvPr id="40" name="组合 39">
          <a:extLst>
            <a:ext uri="{FF2B5EF4-FFF2-40B4-BE49-F238E27FC236}">
              <a16:creationId xmlns:a16="http://schemas.microsoft.com/office/drawing/2014/main" id="{D48006D5-6B0B-43EE-BB08-3CE048326F52}"/>
            </a:ext>
          </a:extLst>
        </xdr:cNvPr>
        <xdr:cNvGrpSpPr/>
      </xdr:nvGrpSpPr>
      <xdr:grpSpPr>
        <a:xfrm>
          <a:off x="3400425" y="1414463"/>
          <a:ext cx="2366964" cy="1852611"/>
          <a:chOff x="7620000" y="1681802"/>
          <a:chExt cx="986023" cy="1204273"/>
        </a:xfrm>
      </xdr:grpSpPr>
      <xdr:sp macro="" textlink="">
        <xdr:nvSpPr>
          <xdr:cNvPr id="41" name="矩形 40">
            <a:extLst>
              <a:ext uri="{FF2B5EF4-FFF2-40B4-BE49-F238E27FC236}">
                <a16:creationId xmlns:a16="http://schemas.microsoft.com/office/drawing/2014/main" id="{B8DE9DB7-53E0-1239-A66E-ADF510BEF343}"/>
              </a:ext>
            </a:extLst>
          </xdr:cNvPr>
          <xdr:cNvSpPr/>
        </xdr:nvSpPr>
        <xdr:spPr>
          <a:xfrm>
            <a:off x="7758298" y="1681802"/>
            <a:ext cx="847725" cy="981075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42" name="矩形 41">
            <a:extLst>
              <a:ext uri="{FF2B5EF4-FFF2-40B4-BE49-F238E27FC236}">
                <a16:creationId xmlns:a16="http://schemas.microsoft.com/office/drawing/2014/main" id="{D9A47799-5579-85E3-7318-EC002BC7D6DA}"/>
              </a:ext>
            </a:extLst>
          </xdr:cNvPr>
          <xdr:cNvSpPr/>
        </xdr:nvSpPr>
        <xdr:spPr>
          <a:xfrm>
            <a:off x="7677150" y="1781175"/>
            <a:ext cx="847725" cy="98107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  <xdr:sp macro="" textlink="">
        <xdr:nvSpPr>
          <xdr:cNvPr id="43" name="矩形 42">
            <a:extLst>
              <a:ext uri="{FF2B5EF4-FFF2-40B4-BE49-F238E27FC236}">
                <a16:creationId xmlns:a16="http://schemas.microsoft.com/office/drawing/2014/main" id="{58E3BFFD-2104-F052-A305-D56C385465BB}"/>
              </a:ext>
            </a:extLst>
          </xdr:cNvPr>
          <xdr:cNvSpPr/>
        </xdr:nvSpPr>
        <xdr:spPr>
          <a:xfrm>
            <a:off x="7620000" y="1905000"/>
            <a:ext cx="847725" cy="981075"/>
          </a:xfrm>
          <a:prstGeom prst="rect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zh-CN" altLang="en-US" sz="1100"/>
          </a:p>
        </xdr:txBody>
      </xdr:sp>
    </xdr:grpSp>
    <xdr:clientData/>
  </xdr:twoCellAnchor>
  <xdr:twoCellAnchor>
    <xdr:from>
      <xdr:col>9</xdr:col>
      <xdr:colOff>47625</xdr:colOff>
      <xdr:row>3</xdr:row>
      <xdr:rowOff>9525</xdr:rowOff>
    </xdr:from>
    <xdr:to>
      <xdr:col>23</xdr:col>
      <xdr:colOff>0</xdr:colOff>
      <xdr:row>24</xdr:row>
      <xdr:rowOff>161925</xdr:rowOff>
    </xdr:to>
    <xdr:sp macro="" textlink="">
      <xdr:nvSpPr>
        <xdr:cNvPr id="51" name="矩形 50">
          <a:extLst>
            <a:ext uri="{FF2B5EF4-FFF2-40B4-BE49-F238E27FC236}">
              <a16:creationId xmlns:a16="http://schemas.microsoft.com/office/drawing/2014/main" id="{FF7E4D87-AFE4-5F4B-202E-55B7C3FC0F76}"/>
            </a:ext>
          </a:extLst>
        </xdr:cNvPr>
        <xdr:cNvSpPr/>
      </xdr:nvSpPr>
      <xdr:spPr>
        <a:xfrm>
          <a:off x="9001125" y="600075"/>
          <a:ext cx="10001250" cy="4067175"/>
        </a:xfrm>
        <a:prstGeom prst="rect">
          <a:avLst/>
        </a:prstGeom>
        <a:noFill/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4D18A-B9B9-49DC-A5DA-C958C9AF2D39}">
  <dimension ref="F1:V173"/>
  <sheetViews>
    <sheetView topLeftCell="A160" zoomScale="120" zoomScaleNormal="120" workbookViewId="0">
      <selection activeCell="F170" sqref="F170"/>
    </sheetView>
  </sheetViews>
  <sheetFormatPr defaultRowHeight="15" x14ac:dyDescent="0.4"/>
  <cols>
    <col min="1" max="1" width="9.06640625" style="2"/>
    <col min="2" max="4" width="3.06640625" style="2" customWidth="1"/>
    <col min="5" max="5" width="9.06640625" style="2"/>
    <col min="6" max="6" width="21.46484375" style="2" customWidth="1"/>
    <col min="7" max="7" width="13.19921875" style="2" customWidth="1"/>
    <col min="8" max="8" width="4.53125" style="2" customWidth="1"/>
    <col min="9" max="9" width="21" style="2" customWidth="1"/>
    <col min="10" max="10" width="23" style="2" customWidth="1"/>
    <col min="11" max="11" width="12.19921875" style="2" bestFit="1" customWidth="1"/>
    <col min="12" max="12" width="2.59765625" style="2" bestFit="1" customWidth="1"/>
    <col min="13" max="13" width="12.06640625" style="2" bestFit="1" customWidth="1"/>
    <col min="14" max="14" width="12.19921875" style="2" bestFit="1" customWidth="1"/>
    <col min="15" max="15" width="9.06640625" style="2" customWidth="1"/>
    <col min="16" max="18" width="9.9296875" style="2" customWidth="1"/>
    <col min="19" max="21" width="11.59765625" style="2" customWidth="1"/>
    <col min="22" max="22" width="11.1328125" style="2" customWidth="1"/>
    <col min="23" max="27" width="6.6640625" style="2" customWidth="1"/>
    <col min="28" max="28" width="11" style="2" bestFit="1" customWidth="1"/>
    <col min="29" max="16384" width="9.06640625" style="2"/>
  </cols>
  <sheetData>
    <row r="1" spans="6:22" x14ac:dyDescent="0.4">
      <c r="J1" s="3"/>
    </row>
    <row r="2" spans="6:22" ht="20.25" x14ac:dyDescent="0.4">
      <c r="F2" s="4" t="s">
        <v>9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6:22" ht="20.25" x14ac:dyDescent="0.4">
      <c r="F3" s="4"/>
      <c r="G3" s="4"/>
      <c r="H3" s="4"/>
      <c r="I3" s="4" t="s">
        <v>8</v>
      </c>
      <c r="J3" s="4" t="s">
        <v>5</v>
      </c>
      <c r="K3" s="4" t="s">
        <v>6</v>
      </c>
      <c r="L3" s="4"/>
      <c r="M3" s="4" t="s">
        <v>7</v>
      </c>
      <c r="N3" s="4" t="s">
        <v>6</v>
      </c>
      <c r="O3" s="4"/>
      <c r="P3" s="4"/>
      <c r="Q3" s="4" t="s">
        <v>0</v>
      </c>
      <c r="R3" s="4" t="s">
        <v>0</v>
      </c>
      <c r="S3" s="4"/>
      <c r="T3" s="4"/>
      <c r="U3" s="4"/>
      <c r="V3" s="4" t="s">
        <v>10</v>
      </c>
    </row>
    <row r="4" spans="6:22" ht="15.75" x14ac:dyDescent="0.4">
      <c r="G4" s="2" t="s">
        <v>1</v>
      </c>
      <c r="I4" s="2">
        <v>32</v>
      </c>
      <c r="J4" s="2">
        <v>5</v>
      </c>
      <c r="K4" s="2">
        <v>2</v>
      </c>
      <c r="M4" s="5">
        <v>5</v>
      </c>
      <c r="N4" s="2">
        <v>2</v>
      </c>
      <c r="P4" s="2">
        <v>400</v>
      </c>
      <c r="Q4" s="2">
        <v>120</v>
      </c>
      <c r="R4" s="2">
        <v>84</v>
      </c>
      <c r="V4" s="2">
        <v>10</v>
      </c>
    </row>
    <row r="5" spans="6:22" ht="15.75" x14ac:dyDescent="0.4">
      <c r="G5" s="2" t="s">
        <v>2</v>
      </c>
      <c r="I5" s="2">
        <v>32</v>
      </c>
      <c r="J5" s="2">
        <v>5</v>
      </c>
      <c r="K5" s="2">
        <v>2</v>
      </c>
      <c r="M5" s="5">
        <v>5</v>
      </c>
      <c r="N5" s="2">
        <v>2</v>
      </c>
    </row>
    <row r="6" spans="6:22" x14ac:dyDescent="0.4">
      <c r="G6" s="2" t="s">
        <v>4</v>
      </c>
      <c r="I6" s="2">
        <v>1</v>
      </c>
      <c r="J6" s="2">
        <v>6</v>
      </c>
      <c r="K6" s="2">
        <v>1</v>
      </c>
      <c r="M6" s="2">
        <v>16</v>
      </c>
      <c r="N6" s="2">
        <v>1</v>
      </c>
    </row>
    <row r="7" spans="6:22" x14ac:dyDescent="0.4">
      <c r="G7" s="2" t="s">
        <v>3</v>
      </c>
      <c r="J7" s="2">
        <v>1</v>
      </c>
      <c r="K7" s="2">
        <v>2</v>
      </c>
      <c r="M7" s="2">
        <v>1</v>
      </c>
      <c r="N7" s="2">
        <v>2</v>
      </c>
    </row>
    <row r="8" spans="6:22" x14ac:dyDescent="0.4">
      <c r="M8" s="2">
        <v>6</v>
      </c>
    </row>
    <row r="9" spans="6:22" x14ac:dyDescent="0.4">
      <c r="J9" s="2">
        <f>J4*J5*J6*J7</f>
        <v>150</v>
      </c>
      <c r="K9" s="2">
        <v>1</v>
      </c>
      <c r="L9" s="2">
        <f t="shared" ref="L9" si="0">L4*L5*L6*L7</f>
        <v>0</v>
      </c>
      <c r="M9" s="2">
        <f>M4*M5*M6*M7*M8</f>
        <v>2400</v>
      </c>
      <c r="N9" s="2">
        <v>1</v>
      </c>
      <c r="Q9" s="2">
        <f>Q4*P4+Q4</f>
        <v>48120</v>
      </c>
      <c r="R9" s="2">
        <f>R4*Q4+R4</f>
        <v>10164</v>
      </c>
      <c r="V9" s="2">
        <f>R4*V4+V4</f>
        <v>850</v>
      </c>
    </row>
    <row r="10" spans="6:22" x14ac:dyDescent="0.4">
      <c r="J10" s="2">
        <f>J9+J6</f>
        <v>156</v>
      </c>
      <c r="M10" s="2">
        <f>M9+M6</f>
        <v>2416</v>
      </c>
      <c r="P10" s="6"/>
    </row>
    <row r="11" spans="6:22" x14ac:dyDescent="0.4">
      <c r="R11" s="2">
        <f>J10+M10+Q9+R9+V9</f>
        <v>61706</v>
      </c>
    </row>
    <row r="16" spans="6:22" ht="24.4" customHeight="1" x14ac:dyDescent="0.4">
      <c r="F16" s="5" t="s">
        <v>11</v>
      </c>
    </row>
    <row r="17" spans="7:22" x14ac:dyDescent="0.4">
      <c r="I17" s="2" t="s">
        <v>8</v>
      </c>
      <c r="J17" s="2" t="s">
        <v>5</v>
      </c>
      <c r="K17" s="2" t="s">
        <v>12</v>
      </c>
      <c r="M17" s="2" t="s">
        <v>7</v>
      </c>
      <c r="N17" s="2" t="s">
        <v>12</v>
      </c>
      <c r="O17" s="2" t="s">
        <v>13</v>
      </c>
      <c r="P17" s="2" t="s">
        <v>15</v>
      </c>
      <c r="Q17" s="2" t="s">
        <v>14</v>
      </c>
      <c r="R17" s="2" t="s">
        <v>16</v>
      </c>
      <c r="S17" s="2" t="s">
        <v>17</v>
      </c>
      <c r="T17" s="2" t="s">
        <v>18</v>
      </c>
      <c r="U17" s="2" t="s">
        <v>19</v>
      </c>
      <c r="V17" s="2" t="s">
        <v>20</v>
      </c>
    </row>
    <row r="18" spans="7:22" x14ac:dyDescent="0.4">
      <c r="G18" s="2" t="s">
        <v>1</v>
      </c>
      <c r="I18" s="2">
        <v>227</v>
      </c>
      <c r="J18" s="2">
        <v>11</v>
      </c>
      <c r="K18" s="2">
        <v>3</v>
      </c>
      <c r="M18" s="2">
        <v>5</v>
      </c>
      <c r="N18" s="2">
        <v>3</v>
      </c>
      <c r="O18" s="2">
        <v>3</v>
      </c>
      <c r="P18" s="2">
        <v>3</v>
      </c>
      <c r="Q18" s="2">
        <v>3</v>
      </c>
      <c r="R18" s="2">
        <v>3</v>
      </c>
    </row>
    <row r="19" spans="7:22" x14ac:dyDescent="0.4">
      <c r="G19" s="2" t="s">
        <v>2</v>
      </c>
      <c r="I19" s="2">
        <v>227</v>
      </c>
      <c r="J19" s="2">
        <v>11</v>
      </c>
      <c r="K19" s="2">
        <v>3</v>
      </c>
      <c r="M19" s="2">
        <v>5</v>
      </c>
      <c r="N19" s="2">
        <v>3</v>
      </c>
      <c r="O19" s="2">
        <v>3</v>
      </c>
      <c r="P19" s="2">
        <v>3</v>
      </c>
      <c r="Q19" s="2">
        <v>3</v>
      </c>
      <c r="R19" s="2">
        <v>3</v>
      </c>
    </row>
    <row r="20" spans="7:22" x14ac:dyDescent="0.4">
      <c r="G20" s="2" t="s">
        <v>4</v>
      </c>
      <c r="I20" s="2">
        <v>3</v>
      </c>
      <c r="J20" s="2">
        <v>96</v>
      </c>
      <c r="K20" s="2">
        <v>1</v>
      </c>
      <c r="M20" s="2">
        <v>256</v>
      </c>
      <c r="N20" s="2">
        <v>1</v>
      </c>
      <c r="O20" s="2">
        <v>384</v>
      </c>
      <c r="P20" s="2">
        <v>384</v>
      </c>
      <c r="Q20" s="2">
        <v>256</v>
      </c>
      <c r="R20" s="2">
        <v>2</v>
      </c>
    </row>
    <row r="21" spans="7:22" x14ac:dyDescent="0.4">
      <c r="G21" s="2" t="s">
        <v>3</v>
      </c>
      <c r="J21" s="2">
        <v>4</v>
      </c>
      <c r="K21" s="2">
        <v>2</v>
      </c>
      <c r="M21" s="2">
        <v>1</v>
      </c>
      <c r="N21" s="2">
        <v>2</v>
      </c>
      <c r="O21" s="2">
        <v>1</v>
      </c>
      <c r="P21" s="2">
        <v>1</v>
      </c>
      <c r="Q21" s="2">
        <v>1</v>
      </c>
      <c r="R21" s="2">
        <v>1</v>
      </c>
    </row>
    <row r="22" spans="7:22" x14ac:dyDescent="0.4">
      <c r="S22" s="2">
        <v>9216</v>
      </c>
      <c r="T22" s="2">
        <v>4096</v>
      </c>
      <c r="U22" s="2">
        <v>4096</v>
      </c>
      <c r="V22" s="2">
        <v>1000</v>
      </c>
    </row>
    <row r="23" spans="7:22" s="6" customFormat="1" x14ac:dyDescent="0.4">
      <c r="G23" s="6" t="s">
        <v>21</v>
      </c>
      <c r="J23" s="6">
        <f>J18*J19*J20*I20</f>
        <v>34848</v>
      </c>
      <c r="M23" s="6">
        <f>M18*M19*M20*J20</f>
        <v>614400</v>
      </c>
      <c r="O23" s="6">
        <f>O18*O19*O20*M20</f>
        <v>884736</v>
      </c>
      <c r="P23" s="6">
        <f>P18*P19*P20*O20</f>
        <v>1327104</v>
      </c>
      <c r="Q23" s="6">
        <f>Q18*Q19*Q20*P20</f>
        <v>884736</v>
      </c>
      <c r="T23" s="6">
        <f>S22*T22</f>
        <v>37748736</v>
      </c>
      <c r="U23" s="6">
        <f>T22*U22</f>
        <v>16777216</v>
      </c>
      <c r="V23" s="6">
        <f>U22*V22</f>
        <v>4096000</v>
      </c>
    </row>
    <row r="24" spans="7:22" x14ac:dyDescent="0.4">
      <c r="J24" s="7">
        <f>J23+J20</f>
        <v>34944</v>
      </c>
      <c r="M24" s="7">
        <f>M23+M20</f>
        <v>614656</v>
      </c>
      <c r="O24" s="7">
        <f>O23+O20</f>
        <v>885120</v>
      </c>
      <c r="P24" s="7">
        <f>P23+P20</f>
        <v>1327488</v>
      </c>
      <c r="Q24" s="7">
        <f>Q23+Q20</f>
        <v>884992</v>
      </c>
      <c r="T24" s="7">
        <f>T23</f>
        <v>37748736</v>
      </c>
      <c r="U24" s="7">
        <f>U23</f>
        <v>16777216</v>
      </c>
      <c r="V24" s="7">
        <f>V23</f>
        <v>4096000</v>
      </c>
    </row>
    <row r="26" spans="7:22" x14ac:dyDescent="0.4">
      <c r="U26" s="2" t="s">
        <v>22</v>
      </c>
      <c r="V26" s="6">
        <f>SUM(J24:V24)</f>
        <v>62369152</v>
      </c>
    </row>
    <row r="28" spans="7:22" s="5" customFormat="1" ht="15.75" x14ac:dyDescent="0.4">
      <c r="G28" s="8" t="s">
        <v>23</v>
      </c>
      <c r="H28" s="8"/>
      <c r="I28" s="8"/>
      <c r="J28" s="9">
        <f>J24/$V$26</f>
        <v>5.6027697795217742E-4</v>
      </c>
      <c r="K28" s="8"/>
      <c r="L28" s="8"/>
      <c r="M28" s="9">
        <f>M24/$V$26</f>
        <v>9.8551283814152235E-3</v>
      </c>
      <c r="N28" s="8"/>
      <c r="O28" s="9">
        <f t="shared" ref="O28:Q28" si="1">O24/$V$26</f>
        <v>1.4191631144832625E-2</v>
      </c>
      <c r="P28" s="9">
        <f t="shared" si="1"/>
        <v>2.1284368272315134E-2</v>
      </c>
      <c r="Q28" s="9">
        <f t="shared" si="1"/>
        <v>1.418957884821009E-2</v>
      </c>
      <c r="R28" s="8"/>
      <c r="S28" s="8"/>
      <c r="T28" s="9">
        <f t="shared" ref="T28:V28" si="2">T24/$V$26</f>
        <v>0.60524690154517413</v>
      </c>
      <c r="U28" s="9">
        <f t="shared" si="2"/>
        <v>0.26899862290896626</v>
      </c>
      <c r="V28" s="9">
        <f t="shared" si="2"/>
        <v>6.567349192113435E-2</v>
      </c>
    </row>
    <row r="33" spans="6:21" ht="15.75" x14ac:dyDescent="0.4">
      <c r="F33" s="5" t="s">
        <v>24</v>
      </c>
    </row>
    <row r="34" spans="6:21" x14ac:dyDescent="0.4">
      <c r="I34" s="2" t="s">
        <v>8</v>
      </c>
      <c r="J34" s="2" t="s">
        <v>5</v>
      </c>
    </row>
    <row r="35" spans="6:21" x14ac:dyDescent="0.4">
      <c r="G35" s="2" t="s">
        <v>1</v>
      </c>
      <c r="I35" s="2">
        <v>224</v>
      </c>
      <c r="J35" s="2">
        <v>3</v>
      </c>
    </row>
    <row r="36" spans="6:21" x14ac:dyDescent="0.4">
      <c r="G36" s="2" t="s">
        <v>2</v>
      </c>
      <c r="I36" s="2">
        <v>224</v>
      </c>
      <c r="J36" s="2">
        <v>3</v>
      </c>
    </row>
    <row r="37" spans="6:21" x14ac:dyDescent="0.4">
      <c r="G37" s="2" t="s">
        <v>4</v>
      </c>
      <c r="I37" s="2">
        <v>3</v>
      </c>
      <c r="J37" s="2">
        <v>64</v>
      </c>
    </row>
    <row r="38" spans="6:21" x14ac:dyDescent="0.4">
      <c r="G38" s="2" t="s">
        <v>3</v>
      </c>
      <c r="J38" s="2">
        <v>1</v>
      </c>
    </row>
    <row r="41" spans="6:21" ht="19.149999999999999" x14ac:dyDescent="0.4">
      <c r="F41" s="5" t="s">
        <v>25</v>
      </c>
      <c r="Q41" s="10"/>
      <c r="R41" s="10"/>
      <c r="S41" s="10"/>
      <c r="T41" s="10"/>
      <c r="U41" s="10"/>
    </row>
    <row r="42" spans="6:21" ht="19.149999999999999" x14ac:dyDescent="0.4">
      <c r="F42" s="2" t="s">
        <v>26</v>
      </c>
      <c r="Q42" s="10"/>
      <c r="R42" s="10"/>
      <c r="S42" s="10"/>
      <c r="T42" s="10"/>
      <c r="U42" s="10"/>
    </row>
    <row r="43" spans="6:21" ht="19.149999999999999" x14ac:dyDescent="0.4">
      <c r="F43" s="2" t="s">
        <v>27</v>
      </c>
      <c r="Q43" s="10"/>
      <c r="R43" s="10"/>
      <c r="S43" s="10"/>
      <c r="T43" s="10"/>
      <c r="U43" s="10"/>
    </row>
    <row r="44" spans="6:21" ht="19.149999999999999" x14ac:dyDescent="0.4">
      <c r="F44" s="11" t="s">
        <v>28</v>
      </c>
      <c r="G44" s="12"/>
      <c r="H44" s="12"/>
      <c r="I44" s="12"/>
      <c r="J44" s="12"/>
      <c r="K44" s="12"/>
      <c r="L44" s="12"/>
      <c r="M44" s="12"/>
      <c r="N44" s="12"/>
      <c r="O44" s="13"/>
      <c r="Q44" s="10"/>
      <c r="R44" s="10"/>
      <c r="S44" s="10"/>
      <c r="T44" s="10"/>
      <c r="U44" s="10"/>
    </row>
    <row r="45" spans="6:21" ht="19.149999999999999" x14ac:dyDescent="0.4">
      <c r="F45" s="14" t="s">
        <v>29</v>
      </c>
      <c r="O45" s="15"/>
      <c r="Q45" s="10"/>
      <c r="R45" s="10"/>
      <c r="S45" s="10"/>
      <c r="T45" s="10"/>
      <c r="U45" s="10"/>
    </row>
    <row r="46" spans="6:21" ht="19.149999999999999" x14ac:dyDescent="0.4">
      <c r="F46" s="14" t="s">
        <v>30</v>
      </c>
      <c r="O46" s="15"/>
      <c r="Q46" s="10"/>
      <c r="R46" s="16"/>
      <c r="S46" s="10"/>
      <c r="T46" s="10"/>
      <c r="U46" s="10"/>
    </row>
    <row r="47" spans="6:21" ht="19.149999999999999" x14ac:dyDescent="0.4">
      <c r="F47" s="14" t="s">
        <v>41</v>
      </c>
      <c r="O47" s="15"/>
      <c r="Q47" s="16"/>
      <c r="R47" s="17"/>
      <c r="S47" s="10"/>
      <c r="T47" s="10"/>
      <c r="U47" s="10"/>
    </row>
    <row r="48" spans="6:21" ht="19.149999999999999" x14ac:dyDescent="0.4">
      <c r="F48" s="14" t="s">
        <v>40</v>
      </c>
      <c r="O48" s="15"/>
      <c r="Q48" s="10"/>
      <c r="R48" s="10"/>
      <c r="S48" s="10"/>
      <c r="T48" s="10"/>
      <c r="U48" s="10"/>
    </row>
    <row r="49" spans="6:21" ht="19.149999999999999" x14ac:dyDescent="0.4">
      <c r="F49" s="14" t="s">
        <v>42</v>
      </c>
      <c r="O49" s="15"/>
      <c r="Q49" s="10" t="s">
        <v>44</v>
      </c>
      <c r="R49" s="10"/>
      <c r="S49" s="10"/>
      <c r="T49" s="10"/>
      <c r="U49" s="10"/>
    </row>
    <row r="50" spans="6:21" ht="19.149999999999999" x14ac:dyDescent="0.4">
      <c r="F50" s="14" t="s">
        <v>43</v>
      </c>
      <c r="O50" s="15"/>
      <c r="Q50" s="10" t="s">
        <v>45</v>
      </c>
      <c r="R50" s="10"/>
      <c r="S50" s="10"/>
      <c r="T50" s="10"/>
      <c r="U50" s="10"/>
    </row>
    <row r="51" spans="6:21" ht="19.149999999999999" x14ac:dyDescent="0.4">
      <c r="F51" s="14" t="s">
        <v>35</v>
      </c>
      <c r="O51" s="15"/>
      <c r="Q51" s="10" t="s">
        <v>49</v>
      </c>
      <c r="R51" s="10"/>
      <c r="S51" s="10"/>
      <c r="T51" s="10"/>
      <c r="U51" s="10"/>
    </row>
    <row r="52" spans="6:21" ht="19.149999999999999" x14ac:dyDescent="0.4">
      <c r="F52" s="14" t="s">
        <v>32</v>
      </c>
      <c r="O52" s="15"/>
      <c r="Q52" s="10" t="s">
        <v>50</v>
      </c>
      <c r="R52" s="10"/>
      <c r="S52" s="10"/>
      <c r="T52" s="10"/>
      <c r="U52" s="10"/>
    </row>
    <row r="53" spans="6:21" ht="19.149999999999999" x14ac:dyDescent="0.4">
      <c r="F53" s="14" t="s">
        <v>33</v>
      </c>
      <c r="O53" s="15"/>
      <c r="Q53" s="10" t="s">
        <v>51</v>
      </c>
      <c r="R53" s="10"/>
      <c r="S53" s="10"/>
      <c r="T53" s="10"/>
      <c r="U53" s="10"/>
    </row>
    <row r="54" spans="6:21" ht="19.149999999999999" x14ac:dyDescent="0.4">
      <c r="F54" s="14" t="s">
        <v>34</v>
      </c>
      <c r="O54" s="15"/>
      <c r="Q54" s="10" t="s">
        <v>46</v>
      </c>
      <c r="R54" s="10"/>
      <c r="S54" s="10"/>
      <c r="T54" s="10"/>
      <c r="U54" s="10"/>
    </row>
    <row r="55" spans="6:21" ht="19.149999999999999" x14ac:dyDescent="0.4">
      <c r="F55" s="14" t="s">
        <v>35</v>
      </c>
      <c r="O55" s="15"/>
      <c r="Q55" s="10" t="s">
        <v>47</v>
      </c>
      <c r="R55" s="10"/>
      <c r="S55" s="10"/>
      <c r="T55" s="10"/>
      <c r="U55" s="10"/>
    </row>
    <row r="56" spans="6:21" ht="19.149999999999999" x14ac:dyDescent="0.4">
      <c r="F56" s="14" t="s">
        <v>32</v>
      </c>
      <c r="O56" s="15"/>
      <c r="Q56" s="10" t="s">
        <v>48</v>
      </c>
      <c r="R56" s="10"/>
      <c r="S56" s="10"/>
      <c r="T56" s="10"/>
      <c r="U56" s="10"/>
    </row>
    <row r="57" spans="6:21" ht="19.149999999999999" x14ac:dyDescent="0.4">
      <c r="F57" s="14" t="s">
        <v>36</v>
      </c>
      <c r="O57" s="15"/>
      <c r="Q57" s="10"/>
      <c r="R57" s="10"/>
      <c r="S57" s="10"/>
      <c r="T57" s="10"/>
      <c r="U57" s="10"/>
    </row>
    <row r="58" spans="6:21" ht="19.149999999999999" x14ac:dyDescent="0.4">
      <c r="F58" s="14" t="s">
        <v>31</v>
      </c>
      <c r="O58" s="15"/>
      <c r="Q58" s="10"/>
      <c r="R58" s="10"/>
      <c r="S58" s="10"/>
      <c r="T58" s="10"/>
      <c r="U58" s="10"/>
    </row>
    <row r="59" spans="6:21" ht="19.149999999999999" x14ac:dyDescent="0.4">
      <c r="F59" s="14" t="s">
        <v>37</v>
      </c>
      <c r="O59" s="15"/>
      <c r="Q59" s="10"/>
      <c r="R59" s="10"/>
      <c r="S59" s="10"/>
      <c r="T59" s="10"/>
      <c r="U59" s="10"/>
    </row>
    <row r="60" spans="6:21" ht="19.149999999999999" x14ac:dyDescent="0.4">
      <c r="F60" s="14" t="s">
        <v>38</v>
      </c>
      <c r="O60" s="15"/>
      <c r="Q60" s="10"/>
      <c r="R60" s="10"/>
      <c r="S60" s="10"/>
      <c r="T60" s="10"/>
      <c r="U60" s="10"/>
    </row>
    <row r="61" spans="6:21" ht="19.149999999999999" x14ac:dyDescent="0.4">
      <c r="F61" s="18" t="s">
        <v>39</v>
      </c>
      <c r="G61" s="19"/>
      <c r="H61" s="19"/>
      <c r="I61" s="19"/>
      <c r="J61" s="19"/>
      <c r="K61" s="19"/>
      <c r="L61" s="19"/>
      <c r="M61" s="19"/>
      <c r="N61" s="19"/>
      <c r="O61" s="20"/>
      <c r="Q61" s="10"/>
      <c r="R61" s="10"/>
      <c r="S61" s="10"/>
      <c r="T61" s="10"/>
      <c r="U61" s="10"/>
    </row>
    <row r="62" spans="6:21" ht="19.149999999999999" x14ac:dyDescent="0.4">
      <c r="Q62" s="10"/>
      <c r="R62" s="10"/>
      <c r="S62" s="10"/>
      <c r="T62" s="10"/>
      <c r="U62" s="10"/>
    </row>
    <row r="65" spans="6:7" s="10" customFormat="1" ht="19.149999999999999" x14ac:dyDescent="0.4">
      <c r="F65" s="10" t="s">
        <v>52</v>
      </c>
    </row>
    <row r="66" spans="6:7" s="10" customFormat="1" ht="20.25" x14ac:dyDescent="0.4">
      <c r="F66" s="4" t="s">
        <v>53</v>
      </c>
    </row>
    <row r="67" spans="6:7" s="10" customFormat="1" ht="19.149999999999999" x14ac:dyDescent="0.4">
      <c r="F67" s="10" t="s">
        <v>54</v>
      </c>
    </row>
    <row r="68" spans="6:7" s="10" customFormat="1" ht="19.149999999999999" x14ac:dyDescent="0.4">
      <c r="F68" s="10" t="s">
        <v>64</v>
      </c>
    </row>
    <row r="69" spans="6:7" s="10" customFormat="1" ht="19.149999999999999" x14ac:dyDescent="0.4">
      <c r="F69" s="10" t="s">
        <v>55</v>
      </c>
    </row>
    <row r="70" spans="6:7" s="10" customFormat="1" ht="20.25" x14ac:dyDescent="0.4">
      <c r="F70" s="4" t="s">
        <v>56</v>
      </c>
    </row>
    <row r="71" spans="6:7" s="10" customFormat="1" ht="19.149999999999999" customHeight="1" x14ac:dyDescent="0.4">
      <c r="F71" s="10" t="s">
        <v>57</v>
      </c>
    </row>
    <row r="72" spans="6:7" s="10" customFormat="1" ht="30" customHeight="1" x14ac:dyDescent="0.4">
      <c r="F72" s="1" t="s">
        <v>63</v>
      </c>
    </row>
    <row r="73" spans="6:7" s="10" customFormat="1" ht="19.149999999999999" x14ac:dyDescent="0.4">
      <c r="F73" s="10" t="s">
        <v>58</v>
      </c>
    </row>
    <row r="74" spans="6:7" s="10" customFormat="1" ht="26.65" customHeight="1" x14ac:dyDescent="0.4">
      <c r="F74" s="21" t="s">
        <v>65</v>
      </c>
    </row>
    <row r="75" spans="6:7" s="10" customFormat="1" ht="20.25" x14ac:dyDescent="0.4">
      <c r="F75" s="4" t="s">
        <v>59</v>
      </c>
    </row>
    <row r="76" spans="6:7" s="10" customFormat="1" ht="19.149999999999999" x14ac:dyDescent="0.4">
      <c r="G76" s="10" t="s">
        <v>66</v>
      </c>
    </row>
    <row r="77" spans="6:7" ht="16.149999999999999" x14ac:dyDescent="0.4">
      <c r="G77" s="22" t="s">
        <v>68</v>
      </c>
    </row>
    <row r="79" spans="6:7" ht="16.149999999999999" x14ac:dyDescent="0.4">
      <c r="G79" s="22" t="s">
        <v>69</v>
      </c>
    </row>
    <row r="80" spans="6:7" ht="16.149999999999999" x14ac:dyDescent="0.4">
      <c r="G80" s="22" t="s">
        <v>70</v>
      </c>
    </row>
    <row r="81" spans="6:7" ht="16.149999999999999" x14ac:dyDescent="0.4">
      <c r="G81" s="22" t="s">
        <v>71</v>
      </c>
    </row>
    <row r="82" spans="6:7" ht="16.149999999999999" x14ac:dyDescent="0.4">
      <c r="G82" s="22" t="s">
        <v>72</v>
      </c>
    </row>
    <row r="83" spans="6:7" ht="16.149999999999999" x14ac:dyDescent="0.4">
      <c r="G83" s="22" t="s">
        <v>60</v>
      </c>
    </row>
    <row r="84" spans="6:7" ht="20.25" x14ac:dyDescent="0.4">
      <c r="F84" s="4" t="s">
        <v>61</v>
      </c>
    </row>
    <row r="85" spans="6:7" x14ac:dyDescent="0.4">
      <c r="G85" s="2" t="s">
        <v>62</v>
      </c>
    </row>
    <row r="86" spans="6:7" x14ac:dyDescent="0.4">
      <c r="G86" s="2" t="s">
        <v>67</v>
      </c>
    </row>
    <row r="87" spans="6:7" x14ac:dyDescent="0.4">
      <c r="G87" s="2" t="s">
        <v>73</v>
      </c>
    </row>
    <row r="88" spans="6:7" ht="16.899999999999999" x14ac:dyDescent="0.4">
      <c r="G88" s="2" t="s">
        <v>74</v>
      </c>
    </row>
    <row r="89" spans="6:7" ht="16.899999999999999" x14ac:dyDescent="0.4">
      <c r="G89" s="2" t="s">
        <v>75</v>
      </c>
    </row>
    <row r="90" spans="6:7" ht="16.899999999999999" x14ac:dyDescent="0.4">
      <c r="G90" s="2" t="s">
        <v>76</v>
      </c>
    </row>
    <row r="91" spans="6:7" x14ac:dyDescent="0.4">
      <c r="G91" s="2" t="s">
        <v>77</v>
      </c>
    </row>
    <row r="92" spans="6:7" ht="16.899999999999999" x14ac:dyDescent="0.4">
      <c r="G92" s="2" t="s">
        <v>78</v>
      </c>
    </row>
    <row r="93" spans="6:7" ht="17.25" customHeight="1" x14ac:dyDescent="0.4">
      <c r="G93" s="23" t="s">
        <v>81</v>
      </c>
    </row>
    <row r="94" spans="6:7" ht="20.25" x14ac:dyDescent="0.4">
      <c r="F94" s="4" t="s">
        <v>79</v>
      </c>
    </row>
    <row r="95" spans="6:7" ht="22.15" customHeight="1" x14ac:dyDescent="0.4">
      <c r="G95" s="23" t="s">
        <v>80</v>
      </c>
    </row>
    <row r="96" spans="6:7" x14ac:dyDescent="0.4">
      <c r="G96" s="2" t="s">
        <v>82</v>
      </c>
    </row>
    <row r="97" spans="6:7" x14ac:dyDescent="0.4">
      <c r="G97" s="2" t="s">
        <v>83</v>
      </c>
    </row>
    <row r="98" spans="6:7" x14ac:dyDescent="0.4">
      <c r="G98" s="2" t="s">
        <v>84</v>
      </c>
    </row>
    <row r="100" spans="6:7" x14ac:dyDescent="0.4">
      <c r="F100" s="2" t="s">
        <v>85</v>
      </c>
    </row>
    <row r="101" spans="6:7" x14ac:dyDescent="0.4">
      <c r="F101" s="2" t="s">
        <v>88</v>
      </c>
    </row>
    <row r="102" spans="6:7" x14ac:dyDescent="0.4">
      <c r="F102" s="2" t="s">
        <v>86</v>
      </c>
    </row>
    <row r="103" spans="6:7" x14ac:dyDescent="0.4">
      <c r="F103" s="2" t="s">
        <v>87</v>
      </c>
    </row>
    <row r="106" spans="6:7" ht="15.75" x14ac:dyDescent="0.4">
      <c r="F106" s="5" t="s">
        <v>89</v>
      </c>
    </row>
    <row r="107" spans="6:7" x14ac:dyDescent="0.4">
      <c r="F107" s="2" t="s">
        <v>90</v>
      </c>
    </row>
    <row r="108" spans="6:7" x14ac:dyDescent="0.4">
      <c r="F108" s="2" t="s">
        <v>91</v>
      </c>
    </row>
    <row r="112" spans="6:7" ht="15.75" x14ac:dyDescent="0.4">
      <c r="F112" s="5" t="s">
        <v>92</v>
      </c>
    </row>
    <row r="113" spans="6:9" x14ac:dyDescent="0.4">
      <c r="F113" s="2" t="s">
        <v>93</v>
      </c>
    </row>
    <row r="114" spans="6:9" ht="15.75" x14ac:dyDescent="0.4">
      <c r="F114" s="5" t="s">
        <v>94</v>
      </c>
    </row>
    <row r="115" spans="6:9" x14ac:dyDescent="0.4">
      <c r="F115" s="2" t="s">
        <v>95</v>
      </c>
    </row>
    <row r="116" spans="6:9" x14ac:dyDescent="0.4">
      <c r="G116" s="2" t="s">
        <v>98</v>
      </c>
    </row>
    <row r="117" spans="6:9" x14ac:dyDescent="0.4">
      <c r="G117" s="2" t="s">
        <v>99</v>
      </c>
    </row>
    <row r="118" spans="6:9" x14ac:dyDescent="0.4">
      <c r="G118" s="2" t="s">
        <v>100</v>
      </c>
    </row>
    <row r="119" spans="6:9" x14ac:dyDescent="0.4">
      <c r="F119" s="2" t="s">
        <v>96</v>
      </c>
    </row>
    <row r="120" spans="6:9" x14ac:dyDescent="0.4">
      <c r="G120" s="2" t="s">
        <v>101</v>
      </c>
    </row>
    <row r="124" spans="6:9" ht="15.75" x14ac:dyDescent="0.4">
      <c r="F124" s="5" t="s">
        <v>102</v>
      </c>
      <c r="G124" s="5"/>
      <c r="H124" s="5"/>
      <c r="I124" s="5"/>
    </row>
    <row r="125" spans="6:9" x14ac:dyDescent="0.4">
      <c r="F125" s="26" t="s">
        <v>103</v>
      </c>
      <c r="G125" s="2" t="s">
        <v>104</v>
      </c>
    </row>
    <row r="126" spans="6:9" ht="15.4" x14ac:dyDescent="0.4">
      <c r="G126" s="25" t="s">
        <v>105</v>
      </c>
    </row>
    <row r="127" spans="6:9" ht="15.4" x14ac:dyDescent="0.4">
      <c r="F127" s="24"/>
      <c r="G127" s="2" t="s">
        <v>106</v>
      </c>
    </row>
    <row r="128" spans="6:9" ht="15.4" x14ac:dyDescent="0.4">
      <c r="F128" s="24"/>
      <c r="G128" s="2" t="s">
        <v>107</v>
      </c>
    </row>
    <row r="130" spans="6:8" x14ac:dyDescent="0.4">
      <c r="G130" s="2" t="s">
        <v>108</v>
      </c>
    </row>
    <row r="131" spans="6:8" x14ac:dyDescent="0.4">
      <c r="G131" s="2" t="s">
        <v>109</v>
      </c>
    </row>
    <row r="132" spans="6:8" x14ac:dyDescent="0.4">
      <c r="H132" s="2" t="s">
        <v>110</v>
      </c>
    </row>
    <row r="133" spans="6:8" x14ac:dyDescent="0.4">
      <c r="H133" s="2" t="s">
        <v>111</v>
      </c>
    </row>
    <row r="134" spans="6:8" x14ac:dyDescent="0.4">
      <c r="H134" s="2" t="s">
        <v>112</v>
      </c>
    </row>
    <row r="135" spans="6:8" x14ac:dyDescent="0.4">
      <c r="H135" s="2" t="s">
        <v>113</v>
      </c>
    </row>
    <row r="136" spans="6:8" ht="15.75" x14ac:dyDescent="0.4">
      <c r="F136" s="5" t="s">
        <v>114</v>
      </c>
    </row>
    <row r="137" spans="6:8" x14ac:dyDescent="0.4">
      <c r="F137" s="2" t="s">
        <v>115</v>
      </c>
    </row>
    <row r="138" spans="6:8" s="27" customFormat="1" ht="28.15" customHeight="1" x14ac:dyDescent="0.5">
      <c r="G138" s="28" t="s">
        <v>116</v>
      </c>
    </row>
    <row r="139" spans="6:8" x14ac:dyDescent="0.4">
      <c r="G139" s="2" t="s">
        <v>117</v>
      </c>
    </row>
    <row r="140" spans="6:8" x14ac:dyDescent="0.4">
      <c r="G140" s="2" t="s">
        <v>118</v>
      </c>
    </row>
    <row r="142" spans="6:8" x14ac:dyDescent="0.4">
      <c r="F142" s="29" t="s">
        <v>97</v>
      </c>
    </row>
    <row r="144" spans="6:8" s="30" customFormat="1" ht="12.4" x14ac:dyDescent="0.4"/>
    <row r="145" spans="6:8" x14ac:dyDescent="0.4">
      <c r="F145" s="2" t="s">
        <v>119</v>
      </c>
    </row>
    <row r="146" spans="6:8" x14ac:dyDescent="0.4">
      <c r="F146" s="2" t="s">
        <v>120</v>
      </c>
    </row>
    <row r="147" spans="6:8" x14ac:dyDescent="0.4">
      <c r="G147" s="2" t="s">
        <v>121</v>
      </c>
    </row>
    <row r="148" spans="6:8" x14ac:dyDescent="0.4">
      <c r="G148" s="2" t="s">
        <v>124</v>
      </c>
    </row>
    <row r="149" spans="6:8" x14ac:dyDescent="0.4">
      <c r="G149" s="2" t="s">
        <v>125</v>
      </c>
    </row>
    <row r="150" spans="6:8" x14ac:dyDescent="0.4">
      <c r="H150" s="2" t="s">
        <v>126</v>
      </c>
    </row>
    <row r="151" spans="6:8" x14ac:dyDescent="0.4">
      <c r="H151" s="2" t="s">
        <v>122</v>
      </c>
    </row>
    <row r="152" spans="6:8" x14ac:dyDescent="0.4">
      <c r="H152" s="2" t="s">
        <v>123</v>
      </c>
    </row>
    <row r="153" spans="6:8" x14ac:dyDescent="0.4">
      <c r="G153" s="2" t="s">
        <v>127</v>
      </c>
    </row>
    <row r="154" spans="6:8" x14ac:dyDescent="0.4">
      <c r="G154" s="2" t="s">
        <v>128</v>
      </c>
    </row>
    <row r="155" spans="6:8" x14ac:dyDescent="0.4">
      <c r="F155" s="2" t="s">
        <v>129</v>
      </c>
    </row>
    <row r="156" spans="6:8" x14ac:dyDescent="0.4">
      <c r="G156" s="2" t="s">
        <v>130</v>
      </c>
    </row>
    <row r="157" spans="6:8" x14ac:dyDescent="0.4">
      <c r="G157" s="2" t="s">
        <v>131</v>
      </c>
    </row>
    <row r="158" spans="6:8" x14ac:dyDescent="0.4">
      <c r="G158" s="2" t="s">
        <v>125</v>
      </c>
    </row>
    <row r="159" spans="6:8" x14ac:dyDescent="0.4">
      <c r="H159" s="2" t="s">
        <v>132</v>
      </c>
    </row>
    <row r="160" spans="6:8" x14ac:dyDescent="0.4">
      <c r="H160" s="2" t="s">
        <v>133</v>
      </c>
    </row>
    <row r="161" spans="6:13" x14ac:dyDescent="0.4">
      <c r="G161" s="2" t="s">
        <v>134</v>
      </c>
    </row>
    <row r="162" spans="6:13" x14ac:dyDescent="0.4">
      <c r="G162" s="2" t="s">
        <v>135</v>
      </c>
    </row>
    <row r="165" spans="6:13" x14ac:dyDescent="0.4">
      <c r="F165" s="2" t="s">
        <v>136</v>
      </c>
      <c r="G165" s="2" t="s">
        <v>137</v>
      </c>
    </row>
    <row r="166" spans="6:13" x14ac:dyDescent="0.4">
      <c r="F166" s="2" t="s">
        <v>138</v>
      </c>
      <c r="G166" s="2" t="s">
        <v>139</v>
      </c>
    </row>
    <row r="167" spans="6:13" x14ac:dyDescent="0.4">
      <c r="F167" s="2" t="s">
        <v>140</v>
      </c>
      <c r="G167" s="2" t="s">
        <v>141</v>
      </c>
    </row>
    <row r="168" spans="6:13" x14ac:dyDescent="0.4">
      <c r="F168" s="2" t="s">
        <v>142</v>
      </c>
      <c r="G168" s="2" t="s">
        <v>143</v>
      </c>
    </row>
    <row r="170" spans="6:13" ht="15.75" x14ac:dyDescent="0.4">
      <c r="F170" s="5" t="s">
        <v>144</v>
      </c>
      <c r="L170" s="31"/>
      <c r="M170" s="31"/>
    </row>
    <row r="171" spans="6:13" ht="15.4" x14ac:dyDescent="0.4">
      <c r="L171" s="31"/>
      <c r="M171" s="32"/>
    </row>
    <row r="172" spans="6:13" ht="15.4" x14ac:dyDescent="0.4">
      <c r="L172" s="33"/>
      <c r="M172" s="34"/>
    </row>
    <row r="173" spans="6:13" ht="15.4" x14ac:dyDescent="0.4">
      <c r="L173" s="31"/>
      <c r="M173" s="32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38A1-C4AC-4BD3-899D-DDDC5242902E}">
  <dimension ref="C3:Z63"/>
  <sheetViews>
    <sheetView tabSelected="1" topLeftCell="A58" workbookViewId="0">
      <selection activeCell="F68" sqref="F68"/>
    </sheetView>
  </sheetViews>
  <sheetFormatPr defaultRowHeight="13.9" x14ac:dyDescent="0.4"/>
  <cols>
    <col min="3" max="3" width="12.9296875" customWidth="1"/>
    <col min="4" max="4" width="4.1328125" customWidth="1"/>
    <col min="5" max="5" width="5.73046875" customWidth="1"/>
    <col min="6" max="6" width="17" customWidth="1"/>
    <col min="7" max="7" width="21.33203125" customWidth="1"/>
    <col min="8" max="8" width="21.53125" customWidth="1"/>
    <col min="9" max="9" width="24.3984375" customWidth="1"/>
    <col min="10" max="10" width="27.86328125" customWidth="1"/>
    <col min="11" max="11" width="12.9296875" customWidth="1"/>
    <col min="12" max="12" width="20.796875" customWidth="1"/>
    <col min="14" max="18" width="4.9296875" customWidth="1"/>
  </cols>
  <sheetData>
    <row r="3" spans="3:26" ht="17.649999999999999" x14ac:dyDescent="0.4">
      <c r="C3" s="37" t="s">
        <v>145</v>
      </c>
    </row>
    <row r="4" spans="3:26" ht="17.649999999999999" x14ac:dyDescent="0.4">
      <c r="C4" s="37"/>
    </row>
    <row r="5" spans="3:26" x14ac:dyDescent="0.4">
      <c r="O5" t="s">
        <v>149</v>
      </c>
    </row>
    <row r="6" spans="3:26" ht="19.899999999999999" customHeight="1" x14ac:dyDescent="0.4">
      <c r="C6" s="40"/>
      <c r="D6" s="40"/>
      <c r="E6" s="40"/>
      <c r="F6" s="40"/>
      <c r="G6" s="40"/>
      <c r="H6" s="40"/>
    </row>
    <row r="7" spans="3:26" ht="7.9" customHeight="1" x14ac:dyDescent="0.4">
      <c r="C7" s="40"/>
      <c r="D7" s="40"/>
      <c r="E7" s="40"/>
      <c r="F7" s="41"/>
      <c r="G7" s="41"/>
      <c r="H7" s="41"/>
    </row>
    <row r="8" spans="3:26" ht="9.4" customHeight="1" x14ac:dyDescent="0.4">
      <c r="C8" s="40"/>
      <c r="D8" s="40"/>
      <c r="E8" s="40"/>
      <c r="F8" s="41"/>
      <c r="G8" s="41"/>
      <c r="H8" s="41"/>
    </row>
    <row r="9" spans="3:26" x14ac:dyDescent="0.4">
      <c r="C9" s="40"/>
      <c r="D9" s="40"/>
      <c r="E9" s="41"/>
      <c r="F9" s="41"/>
      <c r="G9" s="41"/>
      <c r="H9" s="41"/>
    </row>
    <row r="10" spans="3:26" x14ac:dyDescent="0.4">
      <c r="C10" s="40"/>
      <c r="D10" s="41"/>
      <c r="E10" s="41"/>
      <c r="F10" s="41"/>
      <c r="G10" s="41"/>
      <c r="H10" s="41"/>
    </row>
    <row r="11" spans="3:26" x14ac:dyDescent="0.4">
      <c r="C11" s="40"/>
      <c r="D11" s="41"/>
      <c r="E11" s="41"/>
      <c r="F11" s="41"/>
      <c r="G11" s="41"/>
      <c r="H11" s="41"/>
    </row>
    <row r="12" spans="3:26" x14ac:dyDescent="0.4">
      <c r="C12" s="40"/>
      <c r="D12" s="41"/>
      <c r="E12" s="41"/>
      <c r="F12" s="41"/>
      <c r="G12" s="41"/>
      <c r="H12" s="41"/>
    </row>
    <row r="13" spans="3:26" ht="17.649999999999999" x14ac:dyDescent="0.4">
      <c r="C13" s="40"/>
      <c r="D13" s="41"/>
      <c r="E13" s="41"/>
      <c r="F13" s="41"/>
      <c r="G13" s="41"/>
      <c r="H13" s="41"/>
      <c r="I13" s="38"/>
      <c r="J13" s="38"/>
      <c r="K13" s="38"/>
      <c r="Z13" s="37" t="s">
        <v>147</v>
      </c>
    </row>
    <row r="14" spans="3:26" x14ac:dyDescent="0.4">
      <c r="C14" s="40"/>
      <c r="D14" s="41"/>
      <c r="E14" s="41"/>
      <c r="F14" s="41"/>
      <c r="G14" s="41"/>
      <c r="H14" s="41"/>
    </row>
    <row r="15" spans="3:26" x14ac:dyDescent="0.4">
      <c r="C15" s="40"/>
      <c r="D15" s="41"/>
      <c r="E15" s="41"/>
      <c r="F15" s="41"/>
      <c r="G15" s="41"/>
      <c r="H15" s="41"/>
    </row>
    <row r="16" spans="3:26" x14ac:dyDescent="0.4">
      <c r="C16" s="40"/>
      <c r="D16" s="41"/>
      <c r="E16" s="41"/>
      <c r="F16" s="41"/>
      <c r="G16" s="41"/>
      <c r="H16" s="41"/>
    </row>
    <row r="17" spans="3:24" x14ac:dyDescent="0.4">
      <c r="C17" s="40"/>
      <c r="D17" s="41"/>
      <c r="E17" s="41"/>
      <c r="F17" s="41"/>
      <c r="G17" s="41"/>
      <c r="H17" s="40"/>
    </row>
    <row r="18" spans="3:24" x14ac:dyDescent="0.4">
      <c r="C18" s="40"/>
      <c r="D18" s="41"/>
      <c r="E18" s="41"/>
      <c r="F18" s="41"/>
      <c r="G18" s="40"/>
      <c r="H18" s="40"/>
    </row>
    <row r="19" spans="3:24" x14ac:dyDescent="0.4">
      <c r="C19" s="40"/>
      <c r="D19" s="40"/>
      <c r="E19" s="40"/>
      <c r="F19" s="40"/>
      <c r="G19" s="40"/>
      <c r="H19" s="40"/>
      <c r="K19" s="35" t="s">
        <v>146</v>
      </c>
      <c r="Q19" s="35" t="s">
        <v>148</v>
      </c>
      <c r="V19" s="35" t="s">
        <v>155</v>
      </c>
    </row>
    <row r="20" spans="3:24" x14ac:dyDescent="0.4">
      <c r="J20" s="43" t="s">
        <v>152</v>
      </c>
      <c r="K20" t="s">
        <v>151</v>
      </c>
      <c r="N20" s="39"/>
      <c r="O20" s="39"/>
      <c r="P20" s="39"/>
      <c r="Q20" s="39"/>
      <c r="R20" s="39"/>
      <c r="U20" s="43" t="s">
        <v>153</v>
      </c>
      <c r="V20" t="s">
        <v>151</v>
      </c>
    </row>
    <row r="23" spans="3:24" s="42" customFormat="1" ht="20.25" x14ac:dyDescent="0.4">
      <c r="E23" s="42" t="s">
        <v>150</v>
      </c>
      <c r="Q23" s="42" t="s">
        <v>154</v>
      </c>
      <c r="V23" s="42" t="s">
        <v>150</v>
      </c>
      <c r="X23" s="42" t="s">
        <v>205</v>
      </c>
    </row>
    <row r="24" spans="3:24" x14ac:dyDescent="0.4">
      <c r="X24" t="s">
        <v>204</v>
      </c>
    </row>
    <row r="28" spans="3:24" x14ac:dyDescent="0.4">
      <c r="D28" s="35" t="s">
        <v>157</v>
      </c>
      <c r="I28" s="35" t="s">
        <v>172</v>
      </c>
      <c r="O28" s="35" t="s">
        <v>173</v>
      </c>
      <c r="V28" s="35" t="s">
        <v>174</v>
      </c>
    </row>
    <row r="29" spans="3:24" ht="15" x14ac:dyDescent="0.4">
      <c r="C29" s="36" t="s">
        <v>156</v>
      </c>
      <c r="D29" t="s">
        <v>158</v>
      </c>
      <c r="I29" t="s">
        <v>160</v>
      </c>
      <c r="O29" t="s">
        <v>163</v>
      </c>
      <c r="V29" t="s">
        <v>166</v>
      </c>
    </row>
    <row r="30" spans="3:24" x14ac:dyDescent="0.4">
      <c r="D30" t="s">
        <v>159</v>
      </c>
      <c r="I30" t="s">
        <v>161</v>
      </c>
      <c r="O30" t="s">
        <v>164</v>
      </c>
      <c r="V30" t="s">
        <v>167</v>
      </c>
    </row>
    <row r="31" spans="3:24" x14ac:dyDescent="0.4">
      <c r="I31" t="s">
        <v>162</v>
      </c>
      <c r="V31" t="s">
        <v>168</v>
      </c>
    </row>
    <row r="33" spans="5:22" x14ac:dyDescent="0.4">
      <c r="O33" t="s">
        <v>165</v>
      </c>
      <c r="V33" t="s">
        <v>169</v>
      </c>
    </row>
    <row r="39" spans="5:22" x14ac:dyDescent="0.4">
      <c r="V39" s="35" t="s">
        <v>170</v>
      </c>
    </row>
    <row r="40" spans="5:22" x14ac:dyDescent="0.4">
      <c r="V40" t="s">
        <v>171</v>
      </c>
    </row>
    <row r="42" spans="5:22" ht="19.149999999999999" x14ac:dyDescent="0.4">
      <c r="E42" s="44" t="s">
        <v>175</v>
      </c>
      <c r="F42" s="44" t="s">
        <v>176</v>
      </c>
      <c r="G42" s="44" t="s">
        <v>177</v>
      </c>
      <c r="H42" s="44" t="s">
        <v>178</v>
      </c>
      <c r="I42" s="44" t="s">
        <v>179</v>
      </c>
      <c r="J42" s="44" t="s">
        <v>180</v>
      </c>
      <c r="K42" s="44" t="s">
        <v>181</v>
      </c>
    </row>
    <row r="43" spans="5:22" ht="19.149999999999999" x14ac:dyDescent="0.4">
      <c r="E43" s="10" t="s">
        <v>182</v>
      </c>
      <c r="F43" s="10" t="s">
        <v>183</v>
      </c>
      <c r="G43" s="10" t="s">
        <v>184</v>
      </c>
      <c r="H43" s="10" t="s">
        <v>182</v>
      </c>
      <c r="I43" s="10">
        <v>32</v>
      </c>
      <c r="J43" s="10">
        <v>2</v>
      </c>
      <c r="K43" s="10" t="s">
        <v>185</v>
      </c>
    </row>
    <row r="44" spans="5:22" ht="19.149999999999999" x14ac:dyDescent="0.4">
      <c r="E44" s="10">
        <v>1</v>
      </c>
      <c r="F44" s="10" t="s">
        <v>186</v>
      </c>
      <c r="G44" s="10" t="s">
        <v>187</v>
      </c>
      <c r="H44" s="10">
        <v>1</v>
      </c>
      <c r="I44" s="10">
        <v>16</v>
      </c>
      <c r="J44" s="10">
        <v>1</v>
      </c>
      <c r="K44" s="10"/>
    </row>
    <row r="45" spans="5:22" ht="19.149999999999999" x14ac:dyDescent="0.4">
      <c r="E45" s="10">
        <v>2</v>
      </c>
      <c r="F45" s="10" t="s">
        <v>188</v>
      </c>
      <c r="G45" s="10" t="s">
        <v>187</v>
      </c>
      <c r="H45" s="10">
        <v>6</v>
      </c>
      <c r="I45" s="10">
        <v>24</v>
      </c>
      <c r="J45" s="10">
        <v>2</v>
      </c>
      <c r="K45" s="10" t="s">
        <v>189</v>
      </c>
    </row>
    <row r="46" spans="5:22" ht="19.149999999999999" x14ac:dyDescent="0.4">
      <c r="E46" s="10">
        <v>3</v>
      </c>
      <c r="F46" s="10" t="s">
        <v>190</v>
      </c>
      <c r="G46" s="10" t="s">
        <v>187</v>
      </c>
      <c r="H46" s="10">
        <v>6</v>
      </c>
      <c r="I46" s="10">
        <v>24</v>
      </c>
      <c r="J46" s="10">
        <v>1</v>
      </c>
      <c r="K46" s="10"/>
    </row>
    <row r="47" spans="5:22" ht="19.149999999999999" x14ac:dyDescent="0.4">
      <c r="E47" s="10">
        <v>4</v>
      </c>
      <c r="F47" s="10" t="s">
        <v>190</v>
      </c>
      <c r="G47" s="10" t="s">
        <v>187</v>
      </c>
      <c r="H47" s="10">
        <v>6</v>
      </c>
      <c r="I47" s="10">
        <v>32</v>
      </c>
      <c r="J47" s="10">
        <v>2</v>
      </c>
      <c r="K47" s="10" t="s">
        <v>189</v>
      </c>
    </row>
    <row r="48" spans="5:22" ht="19.149999999999999" x14ac:dyDescent="0.4">
      <c r="E48" s="10">
        <v>5</v>
      </c>
      <c r="F48" s="10" t="s">
        <v>191</v>
      </c>
      <c r="G48" s="10" t="s">
        <v>187</v>
      </c>
      <c r="H48" s="10">
        <v>6</v>
      </c>
      <c r="I48" s="10">
        <v>32</v>
      </c>
      <c r="J48" s="10">
        <v>1</v>
      </c>
      <c r="K48" s="10"/>
    </row>
    <row r="49" spans="5:11" ht="19.149999999999999" x14ac:dyDescent="0.4">
      <c r="E49" s="10">
        <v>6</v>
      </c>
      <c r="F49" s="10" t="s">
        <v>191</v>
      </c>
      <c r="G49" s="10" t="s">
        <v>187</v>
      </c>
      <c r="H49" s="10">
        <v>6</v>
      </c>
      <c r="I49" s="10">
        <v>32</v>
      </c>
      <c r="J49" s="10">
        <v>1</v>
      </c>
      <c r="K49" s="10"/>
    </row>
    <row r="50" spans="5:11" ht="19.149999999999999" x14ac:dyDescent="0.4">
      <c r="E50" s="10">
        <v>7</v>
      </c>
      <c r="F50" s="10" t="s">
        <v>191</v>
      </c>
      <c r="G50" s="10" t="s">
        <v>187</v>
      </c>
      <c r="H50" s="10">
        <v>6</v>
      </c>
      <c r="I50" s="10">
        <v>64</v>
      </c>
      <c r="J50" s="10">
        <v>2</v>
      </c>
      <c r="K50" s="10" t="s">
        <v>189</v>
      </c>
    </row>
    <row r="51" spans="5:11" ht="19.149999999999999" x14ac:dyDescent="0.4">
      <c r="E51" s="10">
        <v>8</v>
      </c>
      <c r="F51" s="10" t="s">
        <v>192</v>
      </c>
      <c r="G51" s="10" t="s">
        <v>187</v>
      </c>
      <c r="H51" s="10">
        <v>6</v>
      </c>
      <c r="I51" s="10">
        <v>64</v>
      </c>
      <c r="J51" s="10">
        <v>1</v>
      </c>
      <c r="K51" s="10"/>
    </row>
    <row r="52" spans="5:11" ht="19.149999999999999" x14ac:dyDescent="0.4">
      <c r="E52" s="10">
        <v>9</v>
      </c>
      <c r="F52" s="10" t="s">
        <v>192</v>
      </c>
      <c r="G52" s="10" t="s">
        <v>187</v>
      </c>
      <c r="H52" s="10">
        <v>6</v>
      </c>
      <c r="I52" s="10">
        <v>64</v>
      </c>
      <c r="J52" s="10">
        <v>1</v>
      </c>
      <c r="K52" s="10"/>
    </row>
    <row r="53" spans="5:11" ht="19.149999999999999" x14ac:dyDescent="0.4">
      <c r="E53" s="10">
        <v>10</v>
      </c>
      <c r="F53" s="10" t="s">
        <v>192</v>
      </c>
      <c r="G53" s="10" t="s">
        <v>187</v>
      </c>
      <c r="H53" s="10">
        <v>6</v>
      </c>
      <c r="I53" s="10">
        <v>64</v>
      </c>
      <c r="J53" s="10">
        <v>1</v>
      </c>
      <c r="K53" s="10"/>
    </row>
    <row r="54" spans="5:11" ht="19.149999999999999" x14ac:dyDescent="0.4">
      <c r="E54" s="10">
        <v>11</v>
      </c>
      <c r="F54" s="10" t="s">
        <v>192</v>
      </c>
      <c r="G54" s="10" t="s">
        <v>187</v>
      </c>
      <c r="H54" s="10">
        <v>6</v>
      </c>
      <c r="I54" s="10">
        <v>96</v>
      </c>
      <c r="J54" s="10">
        <v>1</v>
      </c>
      <c r="K54" s="10"/>
    </row>
    <row r="55" spans="5:11" ht="19.149999999999999" x14ac:dyDescent="0.4">
      <c r="E55" s="10">
        <v>12</v>
      </c>
      <c r="F55" s="10" t="s">
        <v>193</v>
      </c>
      <c r="G55" s="10" t="s">
        <v>187</v>
      </c>
      <c r="H55" s="10">
        <v>6</v>
      </c>
      <c r="I55" s="10">
        <v>96</v>
      </c>
      <c r="J55" s="10">
        <v>1</v>
      </c>
      <c r="K55" s="10"/>
    </row>
    <row r="56" spans="5:11" ht="19.149999999999999" x14ac:dyDescent="0.4">
      <c r="E56" s="10">
        <v>13</v>
      </c>
      <c r="F56" s="10" t="s">
        <v>193</v>
      </c>
      <c r="G56" s="10" t="s">
        <v>187</v>
      </c>
      <c r="H56" s="10">
        <v>6</v>
      </c>
      <c r="I56" s="10">
        <v>96</v>
      </c>
      <c r="J56" s="10">
        <v>1</v>
      </c>
      <c r="K56" s="10"/>
    </row>
    <row r="57" spans="5:11" ht="19.149999999999999" x14ac:dyDescent="0.4">
      <c r="E57" s="10">
        <v>14</v>
      </c>
      <c r="F57" s="10" t="s">
        <v>193</v>
      </c>
      <c r="G57" s="10" t="s">
        <v>187</v>
      </c>
      <c r="H57" s="10">
        <v>6</v>
      </c>
      <c r="I57" s="10">
        <v>160</v>
      </c>
      <c r="J57" s="10">
        <v>2</v>
      </c>
      <c r="K57" s="10" t="s">
        <v>189</v>
      </c>
    </row>
    <row r="58" spans="5:11" ht="19.149999999999999" x14ac:dyDescent="0.4">
      <c r="E58" s="10">
        <v>15</v>
      </c>
      <c r="F58" s="10" t="s">
        <v>194</v>
      </c>
      <c r="G58" s="10" t="s">
        <v>187</v>
      </c>
      <c r="H58" s="10">
        <v>6</v>
      </c>
      <c r="I58" s="10">
        <v>160</v>
      </c>
      <c r="J58" s="10">
        <v>1</v>
      </c>
      <c r="K58" s="10"/>
    </row>
    <row r="59" spans="5:11" ht="19.149999999999999" x14ac:dyDescent="0.4">
      <c r="E59" s="10">
        <v>16</v>
      </c>
      <c r="F59" s="10" t="s">
        <v>194</v>
      </c>
      <c r="G59" s="10" t="s">
        <v>187</v>
      </c>
      <c r="H59" s="10">
        <v>6</v>
      </c>
      <c r="I59" s="10">
        <v>160</v>
      </c>
      <c r="J59" s="10">
        <v>1</v>
      </c>
      <c r="K59" s="10"/>
    </row>
    <row r="60" spans="5:11" ht="19.149999999999999" x14ac:dyDescent="0.4">
      <c r="E60" s="10">
        <v>17</v>
      </c>
      <c r="F60" s="10" t="s">
        <v>194</v>
      </c>
      <c r="G60" s="10" t="s">
        <v>187</v>
      </c>
      <c r="H60" s="10">
        <v>6</v>
      </c>
      <c r="I60" s="10">
        <v>320</v>
      </c>
      <c r="J60" s="10">
        <v>1</v>
      </c>
      <c r="K60" s="10"/>
    </row>
    <row r="61" spans="5:11" ht="19.149999999999999" x14ac:dyDescent="0.4">
      <c r="E61" s="10" t="s">
        <v>182</v>
      </c>
      <c r="F61" s="10" t="s">
        <v>195</v>
      </c>
      <c r="G61" s="10" t="s">
        <v>196</v>
      </c>
      <c r="H61" s="10" t="s">
        <v>182</v>
      </c>
      <c r="I61" s="10">
        <v>1280</v>
      </c>
      <c r="J61" s="10">
        <v>1</v>
      </c>
      <c r="K61" s="10" t="s">
        <v>197</v>
      </c>
    </row>
    <row r="62" spans="5:11" ht="19.149999999999999" x14ac:dyDescent="0.4">
      <c r="E62" s="10" t="s">
        <v>182</v>
      </c>
      <c r="F62" s="10" t="s">
        <v>198</v>
      </c>
      <c r="G62" s="10" t="s">
        <v>199</v>
      </c>
      <c r="H62" s="10" t="s">
        <v>182</v>
      </c>
      <c r="I62" s="10">
        <v>1280</v>
      </c>
      <c r="J62" s="10" t="s">
        <v>182</v>
      </c>
      <c r="K62" s="10" t="s">
        <v>200</v>
      </c>
    </row>
    <row r="63" spans="5:11" ht="19.149999999999999" x14ac:dyDescent="0.4">
      <c r="E63" s="10" t="s">
        <v>182</v>
      </c>
      <c r="F63" s="10" t="s">
        <v>201</v>
      </c>
      <c r="G63" s="10" t="s">
        <v>196</v>
      </c>
      <c r="H63" s="10" t="s">
        <v>182</v>
      </c>
      <c r="I63" s="10" t="s">
        <v>202</v>
      </c>
      <c r="J63" s="10" t="s">
        <v>182</v>
      </c>
      <c r="K63" s="10" t="s">
        <v>203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MobileNet V2 Full Architecture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Dongdong MA</dc:creator>
  <cp:lastModifiedBy>Dongdong MA</cp:lastModifiedBy>
  <dcterms:created xsi:type="dcterms:W3CDTF">2025-12-29T08:23:43Z</dcterms:created>
  <dcterms:modified xsi:type="dcterms:W3CDTF">2026-01-15T03:32:02Z</dcterms:modified>
</cp:coreProperties>
</file>