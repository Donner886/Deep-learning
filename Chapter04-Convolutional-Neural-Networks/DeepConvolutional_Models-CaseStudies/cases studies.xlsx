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-learning\Deep-learning\Chapter04-Convolutional-Neural-Networks\DeepConvolutional_Models-CaseStudies\"/>
    </mc:Choice>
  </mc:AlternateContent>
  <xr:revisionPtr revIDLastSave="0" documentId="13_ncr:1_{5D4BEF5A-E7AE-4844-B557-30BBC9D4FECB}" xr6:coauthVersionLast="47" xr6:coauthVersionMax="47" xr10:uidLastSave="{00000000-0000-0000-0000-000000000000}"/>
  <bookViews>
    <workbookView xWindow="-120" yWindow="-15870" windowWidth="25440" windowHeight="15270" xr2:uid="{CCDBED70-31EF-43E7-BAA9-99EBC844BB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8" i="1" l="1"/>
  <c r="V28" i="1"/>
  <c r="U28" i="1"/>
  <c r="T28" i="1"/>
  <c r="Q28" i="1"/>
  <c r="P28" i="1"/>
  <c r="O28" i="1"/>
  <c r="J28" i="1"/>
  <c r="V26" i="1"/>
  <c r="V24" i="1"/>
  <c r="U24" i="1"/>
  <c r="T24" i="1"/>
  <c r="Q24" i="1"/>
  <c r="P24" i="1"/>
  <c r="O24" i="1"/>
  <c r="M24" i="1"/>
  <c r="J24" i="1"/>
  <c r="J23" i="1"/>
  <c r="V23" i="1"/>
  <c r="U23" i="1"/>
  <c r="T23" i="1"/>
  <c r="Q23" i="1"/>
  <c r="P23" i="1"/>
  <c r="O23" i="1"/>
  <c r="M23" i="1"/>
  <c r="V9" i="1"/>
  <c r="R9" i="1"/>
  <c r="Q9" i="1"/>
  <c r="M9" i="1"/>
  <c r="M10" i="1" s="1"/>
  <c r="J9" i="1"/>
  <c r="J10" i="1" s="1"/>
  <c r="R11" i="1" s="1"/>
  <c r="L9" i="1"/>
</calcChain>
</file>

<file path=xl/sharedStrings.xml><?xml version="1.0" encoding="utf-8"?>
<sst xmlns="http://schemas.openxmlformats.org/spreadsheetml/2006/main" count="91" uniqueCount="73">
  <si>
    <t>FC</t>
    <phoneticPr fontId="2" type="noConversion"/>
  </si>
  <si>
    <t>w</t>
    <phoneticPr fontId="2" type="noConversion"/>
  </si>
  <si>
    <t>h</t>
    <phoneticPr fontId="2" type="noConversion"/>
  </si>
  <si>
    <t>s</t>
    <phoneticPr fontId="2" type="noConversion"/>
  </si>
  <si>
    <t>c</t>
    <phoneticPr fontId="2" type="noConversion"/>
  </si>
  <si>
    <t>Conv1</t>
    <phoneticPr fontId="2" type="noConversion"/>
  </si>
  <si>
    <t>Avg pool</t>
    <phoneticPr fontId="2" type="noConversion"/>
  </si>
  <si>
    <t>Conv2</t>
    <phoneticPr fontId="2" type="noConversion"/>
  </si>
  <si>
    <t>INPUT</t>
    <phoneticPr fontId="2" type="noConversion"/>
  </si>
  <si>
    <t>LeNet-5</t>
    <phoneticPr fontId="2" type="noConversion"/>
  </si>
  <si>
    <t>Sigmoid</t>
    <phoneticPr fontId="2" type="noConversion"/>
  </si>
  <si>
    <t>AlexNet</t>
    <phoneticPr fontId="2" type="noConversion"/>
  </si>
  <si>
    <t>Max-pool</t>
    <phoneticPr fontId="2" type="noConversion"/>
  </si>
  <si>
    <t>Conv3</t>
    <phoneticPr fontId="2" type="noConversion"/>
  </si>
  <si>
    <t>Conv5</t>
  </si>
  <si>
    <t>Conv4</t>
    <phoneticPr fontId="2" type="noConversion"/>
  </si>
  <si>
    <t>Max-Pool</t>
    <phoneticPr fontId="2" type="noConversion"/>
  </si>
  <si>
    <t>dense</t>
    <phoneticPr fontId="2" type="noConversion"/>
  </si>
  <si>
    <t>FC1</t>
    <phoneticPr fontId="2" type="noConversion"/>
  </si>
  <si>
    <t>FC2</t>
    <phoneticPr fontId="2" type="noConversion"/>
  </si>
  <si>
    <t>SoftMax</t>
    <phoneticPr fontId="2" type="noConversion"/>
  </si>
  <si>
    <t>Parameters</t>
    <phoneticPr fontId="2" type="noConversion"/>
  </si>
  <si>
    <t>Total sum</t>
    <phoneticPr fontId="2" type="noConversion"/>
  </si>
  <si>
    <t>% in Total</t>
    <phoneticPr fontId="2" type="noConversion"/>
  </si>
  <si>
    <t>VGG-16</t>
    <phoneticPr fontId="2" type="noConversion"/>
  </si>
  <si>
    <t>Residual Nets</t>
    <phoneticPr fontId="2" type="noConversion"/>
  </si>
  <si>
    <t xml:space="preserve">非常非常深的网络是很难训练的， 因为存在梯度消失或者梯度爆炸问题。  </t>
    <phoneticPr fontId="2" type="noConversion"/>
  </si>
  <si>
    <t>1. 残差连接（Residual Connection / Skip Connection)。 ResNets的核心创新是引入了跳跃连接</t>
    <phoneticPr fontId="2" type="noConversion"/>
  </si>
  <si>
    <t>输入 x</t>
  </si>
  <si>
    <t xml:space="preserve">  │</t>
  </si>
  <si>
    <t xml:space="preserve">  ├─────────────────────┐  (跳跃连接/shortcut)</t>
  </si>
  <si>
    <t xml:space="preserve">  │                     │</t>
  </si>
  <si>
    <t xml:space="preserve">  ↓                     │</t>
  </si>
  <si>
    <t>┌────────┐              │</t>
  </si>
  <si>
    <t>│ Conv层  │              │</t>
  </si>
  <si>
    <t>└────────┘              │</t>
  </si>
  <si>
    <t xml:space="preserve">  F(x) (残差映射)        │</t>
  </si>
  <si>
    <t xml:space="preserve">  └──────── + ──────────┘  (相加)</t>
  </si>
  <si>
    <t xml:space="preserve">            ↓</t>
  </si>
  <si>
    <t xml:space="preserve">        ReLU(x + F(x))</t>
  </si>
  <si>
    <t xml:space="preserve">   </t>
    <phoneticPr fontId="2" type="noConversion"/>
  </si>
  <si>
    <t xml:space="preserve">  │                                                                               │</t>
    <phoneticPr fontId="2" type="noConversion"/>
  </si>
  <si>
    <t>┌────────┐                                                      │</t>
    <phoneticPr fontId="2" type="noConversion"/>
  </si>
  <si>
    <t>│ Conv层                      │                                              │</t>
    <phoneticPr fontId="2" type="noConversion"/>
  </si>
  <si>
    <t>输出 = F(x) + x</t>
  </si>
  <si>
    <t>其中：</t>
  </si>
  <si>
    <t>2. 恒等映射 (Identity Mapping)</t>
  </si>
  <si>
    <t>当 F(x) = 0 时，输出 = x（恒等映射）</t>
  </si>
  <si>
    <t>最坏情况下，网络可以学习到恒等映射，不会降低性能</t>
  </si>
  <si>
    <t>x 是输入</t>
  </si>
  <si>
    <t>F(x) 是残差映射（通过卷积层学习）</t>
  </si>
  <si>
    <t>网络学习的是残差 F(x)，而不是直接学习目标映射 H(x)</t>
  </si>
  <si>
    <t>二、如何作用</t>
  </si>
  <si>
    <t>1. 梯度流动机制</t>
  </si>
  <si>
    <t>传统网络的问题：</t>
  </si>
  <si>
    <t>当网络很深时，多个小于1的梯度相乘 → 梯度消失</t>
  </si>
  <si>
    <t>ResNet的解决方案：</t>
  </si>
  <si>
    <t>1，传统网络</t>
    <phoneticPr fontId="2" type="noConversion"/>
  </si>
  <si>
    <t>2，ResNet网络</t>
    <phoneticPr fontId="2" type="noConversion"/>
  </si>
  <si>
    <r>
      <t xml:space="preserve">反向传播:  </t>
    </r>
    <r>
      <rPr>
        <sz val="14"/>
        <color theme="1"/>
        <rFont val="等线"/>
        <family val="3"/>
        <charset val="128"/>
        <scheme val="minor"/>
      </rPr>
      <t>∂</t>
    </r>
    <r>
      <rPr>
        <sz val="14"/>
        <color theme="1"/>
        <rFont val="等线"/>
        <family val="3"/>
        <charset val="134"/>
        <scheme val="minor"/>
      </rPr>
      <t>L/</t>
    </r>
    <r>
      <rPr>
        <sz val="14"/>
        <color theme="1"/>
        <rFont val="等线"/>
        <family val="3"/>
        <charset val="128"/>
        <scheme val="minor"/>
      </rPr>
      <t>∂</t>
    </r>
    <r>
      <rPr>
        <sz val="14"/>
        <color theme="1"/>
        <rFont val="等线"/>
        <family val="3"/>
        <charset val="134"/>
        <scheme val="minor"/>
      </rPr>
      <t xml:space="preserve">x = </t>
    </r>
    <r>
      <rPr>
        <sz val="14"/>
        <color theme="1"/>
        <rFont val="等线"/>
        <family val="3"/>
        <charset val="128"/>
        <scheme val="minor"/>
      </rPr>
      <t>∂</t>
    </r>
    <r>
      <rPr>
        <sz val="14"/>
        <color theme="1"/>
        <rFont val="等线"/>
        <family val="3"/>
        <charset val="134"/>
        <scheme val="minor"/>
      </rPr>
      <t>L/</t>
    </r>
    <r>
      <rPr>
        <sz val="14"/>
        <color theme="1"/>
        <rFont val="等线"/>
        <family val="3"/>
        <charset val="128"/>
        <scheme val="minor"/>
      </rPr>
      <t>∂</t>
    </r>
    <r>
      <rPr>
        <sz val="14"/>
        <color theme="1"/>
        <rFont val="等线"/>
        <family val="3"/>
        <charset val="134"/>
        <scheme val="minor"/>
      </rPr>
      <t xml:space="preserve">y × </t>
    </r>
    <r>
      <rPr>
        <sz val="14"/>
        <color theme="1"/>
        <rFont val="等线"/>
        <family val="3"/>
        <charset val="128"/>
        <scheme val="minor"/>
      </rPr>
      <t>∂</t>
    </r>
    <r>
      <rPr>
        <sz val="14"/>
        <color theme="1"/>
        <rFont val="等线"/>
        <family val="3"/>
        <charset val="134"/>
        <scheme val="minor"/>
      </rPr>
      <t>y/</t>
    </r>
    <r>
      <rPr>
        <sz val="14"/>
        <color theme="1"/>
        <rFont val="等线"/>
        <family val="3"/>
        <charset val="128"/>
        <scheme val="minor"/>
      </rPr>
      <t>∂</t>
    </r>
    <r>
      <rPr>
        <sz val="14"/>
        <color theme="1"/>
        <rFont val="等线"/>
        <family val="3"/>
        <charset val="134"/>
        <scheme val="minor"/>
      </rPr>
      <t>x</t>
    </r>
    <r>
      <rPr>
        <sz val="14"/>
        <color theme="1"/>
        <rFont val="等线"/>
        <family val="2"/>
        <charset val="134"/>
        <scheme val="minor"/>
      </rPr>
      <t>₁</t>
    </r>
    <r>
      <rPr>
        <sz val="14"/>
        <color theme="1"/>
        <rFont val="等线"/>
        <family val="3"/>
        <charset val="134"/>
        <scheme val="minor"/>
      </rPr>
      <t xml:space="preserve"> × </t>
    </r>
    <r>
      <rPr>
        <sz val="14"/>
        <color theme="1"/>
        <rFont val="等线"/>
        <family val="3"/>
        <charset val="128"/>
        <scheme val="minor"/>
      </rPr>
      <t>∂</t>
    </r>
    <r>
      <rPr>
        <sz val="14"/>
        <color theme="1"/>
        <rFont val="等线"/>
        <family val="3"/>
        <charset val="134"/>
        <scheme val="minor"/>
      </rPr>
      <t>x</t>
    </r>
    <r>
      <rPr>
        <sz val="14"/>
        <color theme="1"/>
        <rFont val="等线"/>
        <family val="2"/>
        <charset val="134"/>
        <scheme val="minor"/>
      </rPr>
      <t>₁</t>
    </r>
    <r>
      <rPr>
        <sz val="14"/>
        <color theme="1"/>
        <rFont val="等线"/>
        <family val="3"/>
        <charset val="134"/>
        <scheme val="minor"/>
      </rPr>
      <t>/</t>
    </r>
    <r>
      <rPr>
        <sz val="14"/>
        <color theme="1"/>
        <rFont val="等线"/>
        <family val="3"/>
        <charset val="128"/>
        <scheme val="minor"/>
      </rPr>
      <t>∂</t>
    </r>
    <r>
      <rPr>
        <sz val="14"/>
        <color theme="1"/>
        <rFont val="等线"/>
        <family val="3"/>
        <charset val="134"/>
        <scheme val="minor"/>
      </rPr>
      <t>x</t>
    </r>
    <r>
      <rPr>
        <sz val="14"/>
        <color theme="1"/>
        <rFont val="等线"/>
        <family val="2"/>
        <charset val="134"/>
        <scheme val="minor"/>
      </rPr>
      <t>₂</t>
    </r>
    <r>
      <rPr>
        <sz val="14"/>
        <color theme="1"/>
        <rFont val="等线"/>
        <family val="3"/>
        <charset val="134"/>
        <scheme val="minor"/>
      </rPr>
      <t xml:space="preserve"> × ...  × </t>
    </r>
    <r>
      <rPr>
        <sz val="14"/>
        <color theme="1"/>
        <rFont val="等线"/>
        <family val="3"/>
        <charset val="128"/>
        <scheme val="minor"/>
      </rPr>
      <t>∂</t>
    </r>
    <r>
      <rPr>
        <sz val="14"/>
        <color theme="1"/>
        <rFont val="等线"/>
        <family val="3"/>
        <charset val="134"/>
        <scheme val="minor"/>
      </rPr>
      <t>xₙ/</t>
    </r>
    <r>
      <rPr>
        <sz val="14"/>
        <color theme="1"/>
        <rFont val="等线"/>
        <family val="3"/>
        <charset val="128"/>
        <scheme val="minor"/>
      </rPr>
      <t>∂</t>
    </r>
    <r>
      <rPr>
        <sz val="14"/>
        <color theme="1"/>
        <rFont val="等线"/>
        <family val="3"/>
        <charset val="134"/>
        <scheme val="minor"/>
      </rPr>
      <t>x</t>
    </r>
  </si>
  <si>
    <r>
      <t>xₗ → [Conv] → xₗ₊</t>
    </r>
    <r>
      <rPr>
        <sz val="14"/>
        <color theme="1"/>
        <rFont val="等线"/>
        <family val="2"/>
        <charset val="134"/>
        <scheme val="minor"/>
      </rPr>
      <t>₁</t>
    </r>
    <r>
      <rPr>
        <sz val="14"/>
        <color theme="1"/>
        <rFont val="等线"/>
        <family val="3"/>
        <charset val="134"/>
        <scheme val="minor"/>
      </rPr>
      <t xml:space="preserve"> → [Conv] → xₗ₊</t>
    </r>
    <r>
      <rPr>
        <sz val="14"/>
        <color theme="1"/>
        <rFont val="等线"/>
        <family val="2"/>
        <charset val="134"/>
        <scheme val="minor"/>
      </rPr>
      <t>₂</t>
    </r>
    <r>
      <rPr>
        <sz val="14"/>
        <color theme="1"/>
        <rFont val="等线"/>
        <family val="3"/>
        <charset val="134"/>
        <scheme val="minor"/>
      </rPr>
      <t xml:space="preserve"> → ...  → xₗ₊ₙ， 其中每层 xₗ₊</t>
    </r>
    <r>
      <rPr>
        <sz val="14"/>
        <color theme="1"/>
        <rFont val="等线"/>
        <family val="2"/>
        <charset val="134"/>
        <scheme val="minor"/>
      </rPr>
      <t>₁</t>
    </r>
    <r>
      <rPr>
        <sz val="14"/>
        <color theme="1"/>
        <rFont val="等线"/>
        <family val="3"/>
        <charset val="134"/>
        <scheme val="minor"/>
      </rPr>
      <t xml:space="preserve"> = F(xₗ)</t>
    </r>
  </si>
  <si>
    <r>
      <t>xₗ → [Residual Block] → xₗ₊</t>
    </r>
    <r>
      <rPr>
        <sz val="14"/>
        <color theme="1"/>
        <rFont val="等线"/>
        <family val="2"/>
        <charset val="134"/>
        <scheme val="minor"/>
      </rPr>
      <t>₁</t>
    </r>
    <r>
      <rPr>
        <sz val="14"/>
        <color theme="1"/>
        <rFont val="等线"/>
        <family val="3"/>
        <charset val="134"/>
        <scheme val="minor"/>
      </rPr>
      <t xml:space="preserve"> → [Residual Block] → xₗ₊</t>
    </r>
    <r>
      <rPr>
        <sz val="14"/>
        <color theme="1"/>
        <rFont val="等线"/>
        <family val="2"/>
        <charset val="134"/>
        <scheme val="minor"/>
      </rPr>
      <t>₂</t>
    </r>
    <r>
      <rPr>
        <sz val="14"/>
        <color theme="1"/>
        <rFont val="等线"/>
        <family val="3"/>
        <charset val="134"/>
        <scheme val="minor"/>
      </rPr>
      <t xml:space="preserve"> → ... → xₗ₊ₙ， 每层：xₗ₊</t>
    </r>
    <r>
      <rPr>
        <sz val="14"/>
        <color theme="1"/>
        <rFont val="等线"/>
        <family val="2"/>
        <charset val="134"/>
        <scheme val="minor"/>
      </rPr>
      <t>₁</t>
    </r>
    <r>
      <rPr>
        <sz val="14"/>
        <color theme="1"/>
        <rFont val="等线"/>
        <family val="3"/>
        <charset val="134"/>
        <scheme val="minor"/>
      </rPr>
      <t xml:space="preserve"> = xₗ + F(xₗ) （跳跃连接）</t>
    </r>
  </si>
  <si>
    <t>二、单个残差块的梯度推导</t>
    <phoneticPr fontId="2" type="noConversion"/>
  </si>
  <si>
    <r>
      <t>∂</t>
    </r>
    <r>
      <rPr>
        <sz val="14"/>
        <color theme="1"/>
        <rFont val="等线"/>
        <family val="3"/>
        <charset val="134"/>
        <scheme val="minor"/>
      </rPr>
      <t>Loss/</t>
    </r>
    <r>
      <rPr>
        <sz val="14"/>
        <color theme="1"/>
        <rFont val="等线"/>
        <family val="3"/>
        <charset val="128"/>
        <scheme val="minor"/>
      </rPr>
      <t>∂</t>
    </r>
    <r>
      <rPr>
        <sz val="14"/>
        <color theme="1"/>
        <rFont val="等线"/>
        <family val="3"/>
        <charset val="134"/>
        <scheme val="minor"/>
      </rPr>
      <t xml:space="preserve">xₗ = </t>
    </r>
    <r>
      <rPr>
        <sz val="14"/>
        <color theme="1"/>
        <rFont val="等线"/>
        <family val="3"/>
        <charset val="128"/>
        <scheme val="minor"/>
      </rPr>
      <t>∂</t>
    </r>
    <r>
      <rPr>
        <sz val="14"/>
        <color theme="1"/>
        <rFont val="等线"/>
        <family val="3"/>
        <charset val="134"/>
        <scheme val="minor"/>
      </rPr>
      <t>Loss/</t>
    </r>
    <r>
      <rPr>
        <sz val="14"/>
        <color theme="1"/>
        <rFont val="等线"/>
        <family val="3"/>
        <charset val="128"/>
        <scheme val="minor"/>
      </rPr>
      <t>∂</t>
    </r>
    <r>
      <rPr>
        <sz val="14"/>
        <color theme="1"/>
        <rFont val="等线"/>
        <family val="3"/>
        <charset val="134"/>
        <scheme val="minor"/>
      </rPr>
      <t>xₗ₊</t>
    </r>
    <r>
      <rPr>
        <sz val="14"/>
        <color theme="1"/>
        <rFont val="等线"/>
        <family val="2"/>
        <charset val="134"/>
        <scheme val="minor"/>
      </rPr>
      <t>₁</t>
    </r>
    <r>
      <rPr>
        <sz val="14"/>
        <color theme="1"/>
        <rFont val="等线"/>
        <family val="3"/>
        <charset val="134"/>
        <scheme val="minor"/>
      </rPr>
      <t xml:space="preserve"> × </t>
    </r>
    <r>
      <rPr>
        <sz val="14"/>
        <color theme="1"/>
        <rFont val="等线"/>
        <family val="3"/>
        <charset val="128"/>
        <scheme val="minor"/>
      </rPr>
      <t>∂</t>
    </r>
    <r>
      <rPr>
        <sz val="14"/>
        <color theme="1"/>
        <rFont val="等线"/>
        <family val="3"/>
        <charset val="134"/>
        <scheme val="minor"/>
      </rPr>
      <t>xₗ₊</t>
    </r>
    <r>
      <rPr>
        <sz val="14"/>
        <color theme="1"/>
        <rFont val="等线"/>
        <family val="2"/>
        <charset val="134"/>
        <scheme val="minor"/>
      </rPr>
      <t>₁</t>
    </r>
    <r>
      <rPr>
        <sz val="14"/>
        <color theme="1"/>
        <rFont val="等线"/>
        <family val="3"/>
        <charset val="134"/>
        <scheme val="minor"/>
      </rPr>
      <t>/</t>
    </r>
    <r>
      <rPr>
        <sz val="14"/>
        <color theme="1"/>
        <rFont val="等线"/>
        <family val="3"/>
        <charset val="128"/>
        <scheme val="minor"/>
      </rPr>
      <t>∂</t>
    </r>
    <r>
      <rPr>
        <sz val="14"/>
        <color theme="1"/>
        <rFont val="等线"/>
        <family val="3"/>
        <charset val="134"/>
        <scheme val="minor"/>
      </rPr>
      <t>xₗ</t>
    </r>
  </si>
  <si>
    <r>
      <t>xₗ₊</t>
    </r>
    <r>
      <rPr>
        <sz val="11"/>
        <color theme="1"/>
        <rFont val="等线"/>
        <family val="2"/>
        <charset val="134"/>
        <scheme val="minor"/>
      </rPr>
      <t>₁</t>
    </r>
    <r>
      <rPr>
        <sz val="11"/>
        <color theme="1"/>
        <rFont val="等线"/>
        <family val="2"/>
        <charset val="134"/>
        <scheme val="minor"/>
      </rPr>
      <t xml:space="preserve"> = xₗ + F(xₗ, Wₗ)</t>
    </r>
  </si>
  <si>
    <r>
      <t>∂</t>
    </r>
    <r>
      <rPr>
        <sz val="11"/>
        <color theme="1"/>
        <rFont val="等线"/>
        <family val="2"/>
        <charset val="134"/>
        <scheme val="minor"/>
      </rPr>
      <t>xₗ₊</t>
    </r>
    <r>
      <rPr>
        <sz val="11"/>
        <color theme="1"/>
        <rFont val="等线"/>
        <family val="2"/>
        <charset val="134"/>
        <scheme val="minor"/>
      </rPr>
      <t>₁</t>
    </r>
    <r>
      <rPr>
        <sz val="11"/>
        <color theme="1"/>
        <rFont val="等线"/>
        <family val="2"/>
        <charset val="134"/>
        <scheme val="minor"/>
      </rPr>
      <t>/</t>
    </r>
    <r>
      <rPr>
        <sz val="11"/>
        <color theme="1"/>
        <rFont val="等线"/>
        <family val="3"/>
        <charset val="128"/>
        <scheme val="minor"/>
      </rPr>
      <t>∂</t>
    </r>
    <r>
      <rPr>
        <sz val="11"/>
        <color theme="1"/>
        <rFont val="等线"/>
        <family val="2"/>
        <charset val="134"/>
        <scheme val="minor"/>
      </rPr>
      <t xml:space="preserve">xₗ = </t>
    </r>
    <r>
      <rPr>
        <sz val="11"/>
        <color theme="1"/>
        <rFont val="等线"/>
        <family val="3"/>
        <charset val="128"/>
        <scheme val="minor"/>
      </rPr>
      <t>∂</t>
    </r>
    <r>
      <rPr>
        <sz val="11"/>
        <color theme="1"/>
        <rFont val="等线"/>
        <family val="2"/>
        <charset val="134"/>
        <scheme val="minor"/>
      </rPr>
      <t>/</t>
    </r>
    <r>
      <rPr>
        <sz val="11"/>
        <color theme="1"/>
        <rFont val="等线"/>
        <family val="3"/>
        <charset val="128"/>
        <scheme val="minor"/>
      </rPr>
      <t>∂</t>
    </r>
    <r>
      <rPr>
        <sz val="11"/>
        <color theme="1"/>
        <rFont val="等线"/>
        <family val="2"/>
        <charset val="134"/>
        <scheme val="minor"/>
      </rPr>
      <t>xₗ [xₗ + F(xₗ, Wₗ)]</t>
    </r>
  </si>
  <si>
    <r>
      <t xml:space="preserve">          = </t>
    </r>
    <r>
      <rPr>
        <sz val="11"/>
        <color theme="1"/>
        <rFont val="等线"/>
        <family val="3"/>
        <charset val="128"/>
        <scheme val="minor"/>
      </rPr>
      <t>∂</t>
    </r>
    <r>
      <rPr>
        <sz val="11"/>
        <color theme="1"/>
        <rFont val="等线"/>
        <family val="2"/>
        <charset val="134"/>
        <scheme val="minor"/>
      </rPr>
      <t>xₗ/</t>
    </r>
    <r>
      <rPr>
        <sz val="11"/>
        <color theme="1"/>
        <rFont val="等线"/>
        <family val="3"/>
        <charset val="128"/>
        <scheme val="minor"/>
      </rPr>
      <t>∂</t>
    </r>
    <r>
      <rPr>
        <sz val="11"/>
        <color theme="1"/>
        <rFont val="等线"/>
        <family val="2"/>
        <charset val="134"/>
        <scheme val="minor"/>
      </rPr>
      <t xml:space="preserve">xₗ + </t>
    </r>
    <r>
      <rPr>
        <sz val="11"/>
        <color theme="1"/>
        <rFont val="等线"/>
        <family val="3"/>
        <charset val="128"/>
        <scheme val="minor"/>
      </rPr>
      <t>∂</t>
    </r>
    <r>
      <rPr>
        <sz val="11"/>
        <color theme="1"/>
        <rFont val="等线"/>
        <family val="2"/>
        <charset val="134"/>
        <scheme val="minor"/>
      </rPr>
      <t>F(xₗ, Wₗ)/</t>
    </r>
    <r>
      <rPr>
        <sz val="11"/>
        <color theme="1"/>
        <rFont val="等线"/>
        <family val="3"/>
        <charset val="128"/>
        <scheme val="minor"/>
      </rPr>
      <t>∂</t>
    </r>
    <r>
      <rPr>
        <sz val="11"/>
        <color theme="1"/>
        <rFont val="等线"/>
        <family val="2"/>
        <charset val="134"/>
        <scheme val="minor"/>
      </rPr>
      <t>xₗ</t>
    </r>
  </si>
  <si>
    <r>
      <t xml:space="preserve">          = 1 + </t>
    </r>
    <r>
      <rPr>
        <sz val="11"/>
        <color theme="1"/>
        <rFont val="等线"/>
        <family val="3"/>
        <charset val="128"/>
        <scheme val="minor"/>
      </rPr>
      <t>∂</t>
    </r>
    <r>
      <rPr>
        <sz val="11"/>
        <color theme="1"/>
        <rFont val="等线"/>
        <family val="2"/>
        <charset val="134"/>
        <scheme val="minor"/>
      </rPr>
      <t>F(xₗ, Wₗ)/</t>
    </r>
    <r>
      <rPr>
        <sz val="11"/>
        <color theme="1"/>
        <rFont val="等线"/>
        <family val="3"/>
        <charset val="128"/>
        <scheme val="minor"/>
      </rPr>
      <t>∂</t>
    </r>
    <r>
      <rPr>
        <sz val="11"/>
        <color theme="1"/>
        <rFont val="等线"/>
        <family val="2"/>
        <charset val="134"/>
        <scheme val="minor"/>
      </rPr>
      <t>xₗ</t>
    </r>
  </si>
  <si>
    <r>
      <t>∂</t>
    </r>
    <r>
      <rPr>
        <sz val="11"/>
        <color theme="1"/>
        <rFont val="等线"/>
        <family val="2"/>
        <charset val="134"/>
        <scheme val="minor"/>
      </rPr>
      <t>Loss/</t>
    </r>
    <r>
      <rPr>
        <sz val="11"/>
        <color theme="1"/>
        <rFont val="等线"/>
        <family val="3"/>
        <charset val="128"/>
        <scheme val="minor"/>
      </rPr>
      <t>∂</t>
    </r>
    <r>
      <rPr>
        <sz val="11"/>
        <color theme="1"/>
        <rFont val="等线"/>
        <family val="2"/>
        <charset val="134"/>
        <scheme val="minor"/>
      </rPr>
      <t xml:space="preserve">xₗ = </t>
    </r>
    <r>
      <rPr>
        <sz val="11"/>
        <color theme="1"/>
        <rFont val="等线"/>
        <family val="3"/>
        <charset val="128"/>
        <scheme val="minor"/>
      </rPr>
      <t>∂</t>
    </r>
    <r>
      <rPr>
        <sz val="11"/>
        <color theme="1"/>
        <rFont val="等线"/>
        <family val="2"/>
        <charset val="134"/>
        <scheme val="minor"/>
      </rPr>
      <t>Loss/</t>
    </r>
    <r>
      <rPr>
        <sz val="11"/>
        <color theme="1"/>
        <rFont val="等线"/>
        <family val="3"/>
        <charset val="128"/>
        <scheme val="minor"/>
      </rPr>
      <t>∂</t>
    </r>
    <r>
      <rPr>
        <sz val="11"/>
        <color theme="1"/>
        <rFont val="等线"/>
        <family val="2"/>
        <charset val="134"/>
        <scheme val="minor"/>
      </rPr>
      <t>xₗ₊</t>
    </r>
    <r>
      <rPr>
        <sz val="11"/>
        <color theme="1"/>
        <rFont val="等线"/>
        <family val="2"/>
        <charset val="134"/>
        <scheme val="minor"/>
      </rPr>
      <t>₁</t>
    </r>
    <r>
      <rPr>
        <sz val="11"/>
        <color theme="1"/>
        <rFont val="等线"/>
        <family val="2"/>
        <charset val="134"/>
        <scheme val="minor"/>
      </rPr>
      <t xml:space="preserve"> × (1 + </t>
    </r>
    <r>
      <rPr>
        <sz val="11"/>
        <color theme="1"/>
        <rFont val="等线"/>
        <family val="3"/>
        <charset val="128"/>
        <scheme val="minor"/>
      </rPr>
      <t>∂</t>
    </r>
    <r>
      <rPr>
        <sz val="11"/>
        <color theme="1"/>
        <rFont val="等线"/>
        <family val="2"/>
        <charset val="134"/>
        <scheme val="minor"/>
      </rPr>
      <t>F(xₗ, Wₗ)/</t>
    </r>
    <r>
      <rPr>
        <sz val="11"/>
        <color theme="1"/>
        <rFont val="等线"/>
        <family val="3"/>
        <charset val="128"/>
        <scheme val="minor"/>
      </rPr>
      <t>∂</t>
    </r>
    <r>
      <rPr>
        <sz val="11"/>
        <color theme="1"/>
        <rFont val="等线"/>
        <family val="2"/>
        <charset val="134"/>
        <scheme val="minor"/>
      </rPr>
      <t>xₗ)</t>
    </r>
  </si>
  <si>
    <t>关键点： 梯度中有一个 "1" 项（来自恒等映射 xₗ），这确保梯度能够直接传播！</t>
  </si>
  <si>
    <t>三、多个残差块的梯度推导</t>
    <phoneticPr fontId="2" type="noConversion"/>
  </si>
  <si>
    <t>假设有 n 个残差块：</t>
  </si>
  <si>
    <r>
      <t>xₗ → xₗ₊</t>
    </r>
    <r>
      <rPr>
        <sz val="11"/>
        <color theme="1"/>
        <rFont val="等线"/>
        <family val="2"/>
        <charset val="134"/>
        <scheme val="minor"/>
      </rPr>
      <t>₁</t>
    </r>
    <r>
      <rPr>
        <sz val="11"/>
        <color theme="1"/>
        <rFont val="等线"/>
        <family val="2"/>
        <charset val="134"/>
        <scheme val="minor"/>
      </rPr>
      <t xml:space="preserve"> → xₗ₊</t>
    </r>
    <r>
      <rPr>
        <sz val="11"/>
        <color theme="1"/>
        <rFont val="等线"/>
        <family val="2"/>
        <charset val="134"/>
        <scheme val="minor"/>
      </rPr>
      <t>₂</t>
    </r>
    <r>
      <rPr>
        <sz val="11"/>
        <color theme="1"/>
        <rFont val="等线"/>
        <family val="2"/>
        <charset val="134"/>
        <scheme val="minor"/>
      </rPr>
      <t xml:space="preserve"> → ... → xₗ₊ₙ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</si>
</sst>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7" formatCode="_ * #,##0_ ;_ * \-#,##0_ ;_ * &quot;-&quot;??_ ;_ @_ "/>
    <numFmt numFmtId="178" formatCode="0.0%"/>
  </numFmts>
  <fonts count="1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rgb="FF00B050"/>
      <name val="等线"/>
      <family val="3"/>
      <charset val="134"/>
      <scheme val="minor"/>
    </font>
    <font>
      <sz val="14"/>
      <color theme="1"/>
      <name val="等线"/>
      <family val="2"/>
      <charset val="134"/>
      <scheme val="minor"/>
    </font>
    <font>
      <sz val="14"/>
      <color rgb="FF010409"/>
      <name val="Consolas"/>
      <family val="3"/>
    </font>
    <font>
      <sz val="11"/>
      <color theme="1"/>
      <name val="等线"/>
      <family val="3"/>
      <charset val="128"/>
      <scheme val="minor"/>
    </font>
    <font>
      <sz val="14"/>
      <color theme="1"/>
      <name val="等线"/>
      <family val="3"/>
      <charset val="134"/>
      <scheme val="minor"/>
    </font>
    <font>
      <sz val="14"/>
      <color theme="1"/>
      <name val="等线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3" fillId="0" borderId="0" xfId="0" applyFont="1">
      <alignment vertical="center"/>
    </xf>
    <xf numFmtId="43" fontId="0" fillId="0" borderId="0" xfId="1" applyFont="1">
      <alignment vertical="center"/>
    </xf>
    <xf numFmtId="177" fontId="0" fillId="0" borderId="0" xfId="1" applyNumberFormat="1" applyFont="1">
      <alignment vertical="center"/>
    </xf>
    <xf numFmtId="0" fontId="4" fillId="0" borderId="0" xfId="0" applyFont="1">
      <alignment vertical="center"/>
    </xf>
    <xf numFmtId="177" fontId="0" fillId="0" borderId="0" xfId="0" applyNumberFormat="1">
      <alignment vertical="center"/>
    </xf>
    <xf numFmtId="0" fontId="5" fillId="0" borderId="0" xfId="0" applyFont="1">
      <alignment vertical="center"/>
    </xf>
    <xf numFmtId="178" fontId="5" fillId="0" borderId="0" xfId="2" applyNumberFormat="1" applyFont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3" fillId="0" borderId="7" xfId="0" applyFont="1" applyBorder="1">
      <alignment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left" vertical="center" indent="1"/>
    </xf>
    <xf numFmtId="0" fontId="6" fillId="0" borderId="5" xfId="0" applyFont="1" applyBorder="1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8" fillId="0" borderId="0" xfId="0" applyFont="1">
      <alignment vertical="center"/>
    </xf>
  </cellXfs>
  <cellStyles count="3">
    <cellStyle name="百分比" xfId="2" builtinId="5"/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4D18A-B9B9-49DC-A5DA-C958C9AF2D39}">
  <dimension ref="F1:AG86"/>
  <sheetViews>
    <sheetView tabSelected="1" topLeftCell="A67" workbookViewId="0">
      <selection activeCell="F88" sqref="F88"/>
    </sheetView>
  </sheetViews>
  <sheetFormatPr defaultRowHeight="13.9" x14ac:dyDescent="0.4"/>
  <cols>
    <col min="2" max="4" width="3.06640625" customWidth="1"/>
    <col min="6" max="6" width="10" customWidth="1"/>
    <col min="7" max="8" width="4.53125" customWidth="1"/>
    <col min="9" max="9" width="9.1328125" bestFit="1" customWidth="1"/>
    <col min="10" max="10" width="10.86328125" bestFit="1" customWidth="1"/>
    <col min="11" max="11" width="12.19921875" bestFit="1" customWidth="1"/>
    <col min="12" max="12" width="2.59765625" bestFit="1" customWidth="1"/>
    <col min="13" max="13" width="12.06640625" bestFit="1" customWidth="1"/>
    <col min="14" max="14" width="12.19921875" bestFit="1" customWidth="1"/>
    <col min="15" max="15" width="9.06640625" customWidth="1"/>
    <col min="16" max="18" width="9.9296875" customWidth="1"/>
    <col min="19" max="21" width="11.59765625" customWidth="1"/>
    <col min="22" max="22" width="11.1328125" customWidth="1"/>
    <col min="23" max="27" width="6.6640625" customWidth="1"/>
    <col min="28" max="28" width="11" bestFit="1" customWidth="1"/>
  </cols>
  <sheetData>
    <row r="1" spans="6:33" x14ac:dyDescent="0.4">
      <c r="J1" s="4"/>
      <c r="AG1" s="1"/>
    </row>
    <row r="2" spans="6:33" ht="17.649999999999999" x14ac:dyDescent="0.4">
      <c r="F2" s="6" t="s">
        <v>9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6:33" ht="17.649999999999999" x14ac:dyDescent="0.4">
      <c r="F3" s="6"/>
      <c r="G3" s="6"/>
      <c r="H3" s="6"/>
      <c r="I3" s="6" t="s">
        <v>8</v>
      </c>
      <c r="J3" s="6" t="s">
        <v>5</v>
      </c>
      <c r="K3" s="6" t="s">
        <v>6</v>
      </c>
      <c r="L3" s="6"/>
      <c r="M3" s="6" t="s">
        <v>7</v>
      </c>
      <c r="N3" s="6" t="s">
        <v>6</v>
      </c>
      <c r="O3" s="6"/>
      <c r="P3" s="6"/>
      <c r="Q3" s="6" t="s">
        <v>0</v>
      </c>
      <c r="R3" s="6" t="s">
        <v>0</v>
      </c>
      <c r="S3" s="6"/>
      <c r="T3" s="6"/>
      <c r="U3" s="6"/>
      <c r="V3" s="6" t="s">
        <v>10</v>
      </c>
    </row>
    <row r="4" spans="6:33" x14ac:dyDescent="0.4">
      <c r="G4" t="s">
        <v>1</v>
      </c>
      <c r="I4">
        <v>32</v>
      </c>
      <c r="J4">
        <v>5</v>
      </c>
      <c r="K4">
        <v>2</v>
      </c>
      <c r="M4" s="3">
        <v>5</v>
      </c>
      <c r="N4">
        <v>2</v>
      </c>
      <c r="P4">
        <v>400</v>
      </c>
      <c r="Q4">
        <v>120</v>
      </c>
      <c r="R4">
        <v>84</v>
      </c>
      <c r="V4">
        <v>10</v>
      </c>
    </row>
    <row r="5" spans="6:33" x14ac:dyDescent="0.4">
      <c r="G5" t="s">
        <v>2</v>
      </c>
      <c r="I5">
        <v>32</v>
      </c>
      <c r="J5">
        <v>5</v>
      </c>
      <c r="K5">
        <v>2</v>
      </c>
      <c r="M5" s="3">
        <v>5</v>
      </c>
      <c r="N5">
        <v>2</v>
      </c>
    </row>
    <row r="6" spans="6:33" x14ac:dyDescent="0.4">
      <c r="G6" t="s">
        <v>4</v>
      </c>
      <c r="I6">
        <v>1</v>
      </c>
      <c r="J6">
        <v>6</v>
      </c>
      <c r="K6">
        <v>1</v>
      </c>
      <c r="M6">
        <v>16</v>
      </c>
      <c r="N6">
        <v>1</v>
      </c>
    </row>
    <row r="7" spans="6:33" x14ac:dyDescent="0.4">
      <c r="G7" t="s">
        <v>3</v>
      </c>
      <c r="J7">
        <v>1</v>
      </c>
      <c r="K7">
        <v>2</v>
      </c>
      <c r="M7">
        <v>1</v>
      </c>
      <c r="N7">
        <v>2</v>
      </c>
    </row>
    <row r="8" spans="6:33" x14ac:dyDescent="0.4">
      <c r="M8">
        <v>6</v>
      </c>
    </row>
    <row r="9" spans="6:33" x14ac:dyDescent="0.4">
      <c r="J9">
        <f>J4*J5*J6*J7</f>
        <v>150</v>
      </c>
      <c r="K9">
        <v>1</v>
      </c>
      <c r="L9">
        <f t="shared" ref="L9" si="0">L4*L5*L6*L7</f>
        <v>0</v>
      </c>
      <c r="M9">
        <f>M4*M5*M6*M7*M8</f>
        <v>2400</v>
      </c>
      <c r="N9">
        <v>1</v>
      </c>
      <c r="Q9">
        <f>Q4*P4+Q4</f>
        <v>48120</v>
      </c>
      <c r="R9">
        <f>R4*Q4+R4</f>
        <v>10164</v>
      </c>
      <c r="V9">
        <f>R4*V4+V4</f>
        <v>850</v>
      </c>
    </row>
    <row r="10" spans="6:33" x14ac:dyDescent="0.4">
      <c r="J10">
        <f>J9+J6</f>
        <v>156</v>
      </c>
      <c r="M10">
        <f>M9+M6</f>
        <v>2416</v>
      </c>
      <c r="P10" s="5"/>
    </row>
    <row r="11" spans="6:33" x14ac:dyDescent="0.4">
      <c r="R11">
        <f>J10+M10+Q9+R9+V9</f>
        <v>61706</v>
      </c>
    </row>
    <row r="16" spans="6:33" ht="24.4" customHeight="1" x14ac:dyDescent="0.4">
      <c r="F16" s="3" t="s">
        <v>11</v>
      </c>
    </row>
    <row r="17" spans="7:22" x14ac:dyDescent="0.4">
      <c r="I17" t="s">
        <v>8</v>
      </c>
      <c r="J17" t="s">
        <v>5</v>
      </c>
      <c r="K17" t="s">
        <v>12</v>
      </c>
      <c r="M17" t="s">
        <v>7</v>
      </c>
      <c r="N17" t="s">
        <v>12</v>
      </c>
      <c r="O17" t="s">
        <v>13</v>
      </c>
      <c r="P17" t="s">
        <v>15</v>
      </c>
      <c r="Q17" t="s">
        <v>14</v>
      </c>
      <c r="R17" t="s">
        <v>16</v>
      </c>
      <c r="S17" t="s">
        <v>17</v>
      </c>
      <c r="T17" t="s">
        <v>18</v>
      </c>
      <c r="U17" t="s">
        <v>19</v>
      </c>
      <c r="V17" t="s">
        <v>20</v>
      </c>
    </row>
    <row r="18" spans="7:22" x14ac:dyDescent="0.4">
      <c r="G18" t="s">
        <v>1</v>
      </c>
      <c r="I18">
        <v>227</v>
      </c>
      <c r="J18">
        <v>11</v>
      </c>
      <c r="K18">
        <v>3</v>
      </c>
      <c r="M18">
        <v>5</v>
      </c>
      <c r="N18">
        <v>3</v>
      </c>
      <c r="O18">
        <v>3</v>
      </c>
      <c r="P18">
        <v>3</v>
      </c>
      <c r="Q18">
        <v>3</v>
      </c>
      <c r="R18">
        <v>3</v>
      </c>
    </row>
    <row r="19" spans="7:22" x14ac:dyDescent="0.4">
      <c r="G19" t="s">
        <v>2</v>
      </c>
      <c r="I19">
        <v>227</v>
      </c>
      <c r="J19">
        <v>11</v>
      </c>
      <c r="K19">
        <v>3</v>
      </c>
      <c r="M19">
        <v>5</v>
      </c>
      <c r="N19">
        <v>3</v>
      </c>
      <c r="O19">
        <v>3</v>
      </c>
      <c r="P19">
        <v>3</v>
      </c>
      <c r="Q19">
        <v>3</v>
      </c>
      <c r="R19">
        <v>3</v>
      </c>
    </row>
    <row r="20" spans="7:22" x14ac:dyDescent="0.4">
      <c r="G20" t="s">
        <v>4</v>
      </c>
      <c r="I20">
        <v>3</v>
      </c>
      <c r="J20">
        <v>96</v>
      </c>
      <c r="K20">
        <v>1</v>
      </c>
      <c r="M20">
        <v>256</v>
      </c>
      <c r="N20">
        <v>1</v>
      </c>
      <c r="O20">
        <v>384</v>
      </c>
      <c r="P20">
        <v>384</v>
      </c>
      <c r="Q20">
        <v>256</v>
      </c>
      <c r="R20">
        <v>2</v>
      </c>
    </row>
    <row r="21" spans="7:22" x14ac:dyDescent="0.4">
      <c r="G21" t="s">
        <v>3</v>
      </c>
      <c r="J21">
        <v>4</v>
      </c>
      <c r="K21">
        <v>2</v>
      </c>
      <c r="M21">
        <v>1</v>
      </c>
      <c r="N21">
        <v>2</v>
      </c>
      <c r="O21">
        <v>1</v>
      </c>
      <c r="P21">
        <v>1</v>
      </c>
      <c r="Q21">
        <v>1</v>
      </c>
      <c r="R21">
        <v>1</v>
      </c>
    </row>
    <row r="22" spans="7:22" x14ac:dyDescent="0.4">
      <c r="S22">
        <v>9216</v>
      </c>
      <c r="T22">
        <v>4096</v>
      </c>
      <c r="U22">
        <v>4096</v>
      </c>
      <c r="V22">
        <v>1000</v>
      </c>
    </row>
    <row r="23" spans="7:22" s="5" customFormat="1" x14ac:dyDescent="0.4">
      <c r="G23" s="5" t="s">
        <v>21</v>
      </c>
      <c r="J23" s="5">
        <f>J18*J19*J20*I20</f>
        <v>34848</v>
      </c>
      <c r="M23" s="5">
        <f>M18*M19*M20*J20</f>
        <v>614400</v>
      </c>
      <c r="O23" s="5">
        <f>O18*O19*O20*M20</f>
        <v>884736</v>
      </c>
      <c r="P23" s="5">
        <f>P18*P19*P20*O20</f>
        <v>1327104</v>
      </c>
      <c r="Q23" s="5">
        <f>Q18*Q19*Q20*P20</f>
        <v>884736</v>
      </c>
      <c r="T23" s="5">
        <f>S22*T22</f>
        <v>37748736</v>
      </c>
      <c r="U23" s="5">
        <f>T22*U22</f>
        <v>16777216</v>
      </c>
      <c r="V23" s="5">
        <f>U22*V22</f>
        <v>4096000</v>
      </c>
    </row>
    <row r="24" spans="7:22" x14ac:dyDescent="0.4">
      <c r="J24" s="7">
        <f>J23+J20</f>
        <v>34944</v>
      </c>
      <c r="M24" s="7">
        <f>M23+M20</f>
        <v>614656</v>
      </c>
      <c r="O24" s="7">
        <f>O23+O20</f>
        <v>885120</v>
      </c>
      <c r="P24" s="7">
        <f>P23+P20</f>
        <v>1327488</v>
      </c>
      <c r="Q24" s="7">
        <f>Q23+Q20</f>
        <v>884992</v>
      </c>
      <c r="T24" s="7">
        <f>T23</f>
        <v>37748736</v>
      </c>
      <c r="U24" s="7">
        <f>U23</f>
        <v>16777216</v>
      </c>
      <c r="V24" s="7">
        <f>V23</f>
        <v>4096000</v>
      </c>
    </row>
    <row r="26" spans="7:22" x14ac:dyDescent="0.4">
      <c r="U26" t="s">
        <v>22</v>
      </c>
      <c r="V26" s="5">
        <f>SUM(J24:V24)</f>
        <v>62369152</v>
      </c>
    </row>
    <row r="28" spans="7:22" s="3" customFormat="1" x14ac:dyDescent="0.4">
      <c r="G28" s="8" t="s">
        <v>23</v>
      </c>
      <c r="H28" s="8"/>
      <c r="I28" s="8"/>
      <c r="J28" s="9">
        <f>J24/$V$26</f>
        <v>5.6027697795217742E-4</v>
      </c>
      <c r="K28" s="8"/>
      <c r="L28" s="8"/>
      <c r="M28" s="9">
        <f>M24/$V$26</f>
        <v>9.8551283814152235E-3</v>
      </c>
      <c r="N28" s="8"/>
      <c r="O28" s="9">
        <f t="shared" ref="O28:Q28" si="1">O24/$V$26</f>
        <v>1.4191631144832625E-2</v>
      </c>
      <c r="P28" s="9">
        <f t="shared" si="1"/>
        <v>2.1284368272315134E-2</v>
      </c>
      <c r="Q28" s="9">
        <f t="shared" si="1"/>
        <v>1.418957884821009E-2</v>
      </c>
      <c r="R28" s="8"/>
      <c r="S28" s="8"/>
      <c r="T28" s="9">
        <f t="shared" ref="T28:V28" si="2">T24/$V$26</f>
        <v>0.60524690154517413</v>
      </c>
      <c r="U28" s="9">
        <f t="shared" si="2"/>
        <v>0.26899862290896626</v>
      </c>
      <c r="V28" s="9">
        <f t="shared" si="2"/>
        <v>6.567349192113435E-2</v>
      </c>
    </row>
    <row r="33" spans="6:21" x14ac:dyDescent="0.4">
      <c r="F33" s="3" t="s">
        <v>24</v>
      </c>
    </row>
    <row r="34" spans="6:21" x14ac:dyDescent="0.4">
      <c r="I34" t="s">
        <v>8</v>
      </c>
      <c r="J34" t="s">
        <v>5</v>
      </c>
    </row>
    <row r="35" spans="6:21" x14ac:dyDescent="0.4">
      <c r="G35" t="s">
        <v>1</v>
      </c>
      <c r="I35">
        <v>224</v>
      </c>
      <c r="J35">
        <v>3</v>
      </c>
    </row>
    <row r="36" spans="6:21" x14ac:dyDescent="0.4">
      <c r="G36" t="s">
        <v>2</v>
      </c>
      <c r="I36">
        <v>224</v>
      </c>
      <c r="J36">
        <v>3</v>
      </c>
    </row>
    <row r="37" spans="6:21" x14ac:dyDescent="0.4">
      <c r="G37" t="s">
        <v>4</v>
      </c>
      <c r="I37">
        <v>3</v>
      </c>
      <c r="J37">
        <v>64</v>
      </c>
    </row>
    <row r="38" spans="6:21" x14ac:dyDescent="0.4">
      <c r="G38" t="s">
        <v>3</v>
      </c>
      <c r="J38">
        <v>1</v>
      </c>
    </row>
    <row r="41" spans="6:21" ht="17.649999999999999" x14ac:dyDescent="0.4">
      <c r="F41" s="3" t="s">
        <v>25</v>
      </c>
      <c r="Q41" s="17"/>
      <c r="R41" s="17"/>
      <c r="S41" s="17"/>
      <c r="T41" s="17"/>
      <c r="U41" s="17"/>
    </row>
    <row r="42" spans="6:21" ht="17.649999999999999" x14ac:dyDescent="0.4">
      <c r="F42" t="s">
        <v>26</v>
      </c>
      <c r="Q42" s="17"/>
      <c r="R42" s="17"/>
      <c r="S42" s="17"/>
      <c r="T42" s="17"/>
      <c r="U42" s="17"/>
    </row>
    <row r="43" spans="6:21" ht="17.649999999999999" x14ac:dyDescent="0.4">
      <c r="F43" t="s">
        <v>27</v>
      </c>
      <c r="Q43" s="17"/>
      <c r="R43" s="17"/>
      <c r="S43" s="17"/>
      <c r="T43" s="17"/>
      <c r="U43" s="17"/>
    </row>
    <row r="44" spans="6:21" ht="17.649999999999999" x14ac:dyDescent="0.4">
      <c r="F44" s="10" t="s">
        <v>28</v>
      </c>
      <c r="G44" s="11"/>
      <c r="H44" s="11"/>
      <c r="I44" s="11"/>
      <c r="J44" s="11"/>
      <c r="K44" s="11"/>
      <c r="L44" s="11"/>
      <c r="M44" s="11"/>
      <c r="N44" s="11"/>
      <c r="O44" s="12"/>
      <c r="Q44" s="17"/>
      <c r="R44" s="17"/>
      <c r="S44" s="17"/>
      <c r="T44" s="17"/>
      <c r="U44" s="17"/>
    </row>
    <row r="45" spans="6:21" ht="17.649999999999999" x14ac:dyDescent="0.4">
      <c r="F45" s="13" t="s">
        <v>29</v>
      </c>
      <c r="G45" s="1"/>
      <c r="H45" s="1"/>
      <c r="I45" s="1"/>
      <c r="J45" s="1"/>
      <c r="K45" s="1"/>
      <c r="L45" s="1"/>
      <c r="M45" s="1"/>
      <c r="N45" s="1"/>
      <c r="O45" s="14"/>
      <c r="Q45" s="17"/>
      <c r="R45" s="17"/>
      <c r="S45" s="17"/>
      <c r="T45" s="17"/>
      <c r="U45" s="17"/>
    </row>
    <row r="46" spans="6:21" ht="17.649999999999999" x14ac:dyDescent="0.4">
      <c r="F46" s="13" t="s">
        <v>30</v>
      </c>
      <c r="G46" s="1"/>
      <c r="H46" s="1"/>
      <c r="I46" s="1"/>
      <c r="J46" s="1"/>
      <c r="K46" s="1"/>
      <c r="L46" s="1"/>
      <c r="M46" s="1"/>
      <c r="N46" s="1"/>
      <c r="O46" s="14"/>
      <c r="Q46" s="17"/>
      <c r="R46" s="18"/>
      <c r="S46" s="17"/>
      <c r="T46" s="17"/>
      <c r="U46" s="17"/>
    </row>
    <row r="47" spans="6:21" ht="17.649999999999999" x14ac:dyDescent="0.4">
      <c r="F47" s="13" t="s">
        <v>41</v>
      </c>
      <c r="G47" s="1"/>
      <c r="H47" s="1"/>
      <c r="I47" s="1"/>
      <c r="J47" s="1"/>
      <c r="K47" s="1"/>
      <c r="L47" s="1"/>
      <c r="M47" s="1"/>
      <c r="N47" s="1"/>
      <c r="O47" s="14"/>
      <c r="Q47" s="18"/>
      <c r="R47" s="19"/>
      <c r="S47" s="17"/>
      <c r="T47" s="17"/>
      <c r="U47" s="17"/>
    </row>
    <row r="48" spans="6:21" ht="17.649999999999999" x14ac:dyDescent="0.4">
      <c r="F48" s="13" t="s">
        <v>40</v>
      </c>
      <c r="G48" s="1"/>
      <c r="H48" s="1"/>
      <c r="I48" s="1"/>
      <c r="J48" s="1"/>
      <c r="K48" s="1"/>
      <c r="L48" s="1"/>
      <c r="M48" s="1"/>
      <c r="N48" s="1"/>
      <c r="O48" s="14"/>
      <c r="Q48" s="17"/>
      <c r="R48" s="17"/>
      <c r="S48" s="17"/>
      <c r="T48" s="17"/>
      <c r="U48" s="17"/>
    </row>
    <row r="49" spans="6:21" ht="17.649999999999999" x14ac:dyDescent="0.4">
      <c r="F49" s="13" t="s">
        <v>42</v>
      </c>
      <c r="G49" s="1"/>
      <c r="H49" s="1"/>
      <c r="I49" s="1"/>
      <c r="J49" s="1"/>
      <c r="K49" s="1"/>
      <c r="L49" s="1"/>
      <c r="M49" s="1"/>
      <c r="N49" s="1"/>
      <c r="O49" s="14"/>
      <c r="Q49" s="17" t="s">
        <v>44</v>
      </c>
      <c r="R49" s="17"/>
      <c r="S49" s="17"/>
      <c r="T49" s="17"/>
      <c r="U49" s="17"/>
    </row>
    <row r="50" spans="6:21" ht="17.649999999999999" x14ac:dyDescent="0.4">
      <c r="F50" s="13" t="s">
        <v>43</v>
      </c>
      <c r="G50" s="1"/>
      <c r="H50" s="1"/>
      <c r="I50" s="1"/>
      <c r="J50" s="1"/>
      <c r="K50" s="1"/>
      <c r="L50" s="1"/>
      <c r="M50" s="1"/>
      <c r="N50" s="1"/>
      <c r="O50" s="14"/>
      <c r="Q50" s="17" t="s">
        <v>45</v>
      </c>
      <c r="R50" s="17"/>
      <c r="S50" s="17"/>
      <c r="T50" s="17"/>
      <c r="U50" s="17"/>
    </row>
    <row r="51" spans="6:21" ht="17.649999999999999" x14ac:dyDescent="0.4">
      <c r="F51" s="13" t="s">
        <v>35</v>
      </c>
      <c r="G51" s="1"/>
      <c r="H51" s="1"/>
      <c r="I51" s="1"/>
      <c r="J51" s="1"/>
      <c r="K51" s="1"/>
      <c r="L51" s="1"/>
      <c r="M51" s="1"/>
      <c r="N51" s="1"/>
      <c r="O51" s="14"/>
      <c r="Q51" s="17" t="s">
        <v>49</v>
      </c>
      <c r="R51" s="17"/>
      <c r="S51" s="17"/>
      <c r="T51" s="17"/>
      <c r="U51" s="17"/>
    </row>
    <row r="52" spans="6:21" ht="17.649999999999999" x14ac:dyDescent="0.4">
      <c r="F52" s="13" t="s">
        <v>32</v>
      </c>
      <c r="G52" s="1"/>
      <c r="H52" s="1"/>
      <c r="I52" s="1"/>
      <c r="J52" s="1"/>
      <c r="K52" s="1"/>
      <c r="L52" s="1"/>
      <c r="M52" s="1"/>
      <c r="N52" s="1"/>
      <c r="O52" s="14"/>
      <c r="Q52" s="17" t="s">
        <v>50</v>
      </c>
      <c r="R52" s="17"/>
      <c r="S52" s="17"/>
      <c r="T52" s="17"/>
      <c r="U52" s="17"/>
    </row>
    <row r="53" spans="6:21" ht="17.649999999999999" x14ac:dyDescent="0.4">
      <c r="F53" s="13" t="s">
        <v>33</v>
      </c>
      <c r="G53" s="1"/>
      <c r="H53" s="1"/>
      <c r="I53" s="1"/>
      <c r="J53" s="1"/>
      <c r="K53" s="1"/>
      <c r="L53" s="1"/>
      <c r="M53" s="1"/>
      <c r="N53" s="1"/>
      <c r="O53" s="14"/>
      <c r="Q53" s="17" t="s">
        <v>51</v>
      </c>
      <c r="R53" s="17"/>
      <c r="S53" s="17"/>
      <c r="T53" s="17"/>
      <c r="U53" s="17"/>
    </row>
    <row r="54" spans="6:21" ht="17.649999999999999" x14ac:dyDescent="0.4">
      <c r="F54" s="13" t="s">
        <v>34</v>
      </c>
      <c r="G54" s="1"/>
      <c r="H54" s="1"/>
      <c r="I54" s="1"/>
      <c r="J54" s="1"/>
      <c r="K54" s="1"/>
      <c r="L54" s="1"/>
      <c r="M54" s="1"/>
      <c r="N54" s="1"/>
      <c r="O54" s="14"/>
      <c r="Q54" s="17" t="s">
        <v>46</v>
      </c>
      <c r="R54" s="17"/>
      <c r="S54" s="17"/>
      <c r="T54" s="17"/>
      <c r="U54" s="17"/>
    </row>
    <row r="55" spans="6:21" ht="17.649999999999999" x14ac:dyDescent="0.4">
      <c r="F55" s="13" t="s">
        <v>35</v>
      </c>
      <c r="G55" s="1"/>
      <c r="H55" s="1"/>
      <c r="I55" s="1"/>
      <c r="J55" s="1"/>
      <c r="K55" s="1"/>
      <c r="L55" s="1"/>
      <c r="M55" s="1"/>
      <c r="N55" s="1"/>
      <c r="O55" s="14"/>
      <c r="Q55" s="17" t="s">
        <v>47</v>
      </c>
      <c r="R55" s="17"/>
      <c r="S55" s="17"/>
      <c r="T55" s="17"/>
      <c r="U55" s="17"/>
    </row>
    <row r="56" spans="6:21" ht="17.649999999999999" x14ac:dyDescent="0.4">
      <c r="F56" s="13" t="s">
        <v>32</v>
      </c>
      <c r="G56" s="1"/>
      <c r="H56" s="1"/>
      <c r="I56" s="1"/>
      <c r="J56" s="1"/>
      <c r="K56" s="1"/>
      <c r="L56" s="1"/>
      <c r="M56" s="1"/>
      <c r="N56" s="1"/>
      <c r="O56" s="14"/>
      <c r="Q56" s="17" t="s">
        <v>48</v>
      </c>
      <c r="R56" s="17"/>
      <c r="S56" s="17"/>
      <c r="T56" s="17"/>
      <c r="U56" s="17"/>
    </row>
    <row r="57" spans="6:21" ht="17.649999999999999" x14ac:dyDescent="0.4">
      <c r="F57" s="13" t="s">
        <v>36</v>
      </c>
      <c r="G57" s="1"/>
      <c r="H57" s="1"/>
      <c r="I57" s="1"/>
      <c r="J57" s="1"/>
      <c r="K57" s="1"/>
      <c r="L57" s="1"/>
      <c r="M57" s="1"/>
      <c r="N57" s="1"/>
      <c r="O57" s="14"/>
      <c r="Q57" s="17"/>
      <c r="R57" s="17"/>
      <c r="S57" s="17"/>
      <c r="T57" s="17"/>
      <c r="U57" s="17"/>
    </row>
    <row r="58" spans="6:21" ht="17.649999999999999" x14ac:dyDescent="0.4">
      <c r="F58" s="13" t="s">
        <v>31</v>
      </c>
      <c r="G58" s="1"/>
      <c r="H58" s="1"/>
      <c r="I58" s="1"/>
      <c r="J58" s="1"/>
      <c r="K58" s="1"/>
      <c r="L58" s="1"/>
      <c r="M58" s="1"/>
      <c r="N58" s="1"/>
      <c r="O58" s="14"/>
      <c r="Q58" s="17"/>
      <c r="R58" s="17"/>
      <c r="S58" s="17"/>
      <c r="T58" s="17"/>
      <c r="U58" s="17"/>
    </row>
    <row r="59" spans="6:21" ht="17.649999999999999" x14ac:dyDescent="0.4">
      <c r="F59" s="13" t="s">
        <v>37</v>
      </c>
      <c r="G59" s="1"/>
      <c r="H59" s="1"/>
      <c r="I59" s="1"/>
      <c r="J59" s="1"/>
      <c r="K59" s="1"/>
      <c r="L59" s="1"/>
      <c r="M59" s="1"/>
      <c r="N59" s="1"/>
      <c r="O59" s="14"/>
      <c r="Q59" s="17"/>
      <c r="R59" s="17"/>
      <c r="S59" s="17"/>
      <c r="T59" s="17"/>
      <c r="U59" s="17"/>
    </row>
    <row r="60" spans="6:21" ht="17.649999999999999" x14ac:dyDescent="0.4">
      <c r="F60" s="13" t="s">
        <v>38</v>
      </c>
      <c r="G60" s="1"/>
      <c r="H60" s="1"/>
      <c r="I60" s="1"/>
      <c r="J60" s="1"/>
      <c r="K60" s="1"/>
      <c r="L60" s="1"/>
      <c r="M60" s="1"/>
      <c r="N60" s="1"/>
      <c r="O60" s="14"/>
      <c r="Q60" s="17"/>
      <c r="R60" s="17"/>
      <c r="S60" s="17"/>
      <c r="T60" s="17"/>
      <c r="U60" s="17"/>
    </row>
    <row r="61" spans="6:21" ht="17.649999999999999" x14ac:dyDescent="0.4">
      <c r="F61" s="16" t="s">
        <v>39</v>
      </c>
      <c r="G61" s="2"/>
      <c r="H61" s="2"/>
      <c r="I61" s="2"/>
      <c r="J61" s="2"/>
      <c r="K61" s="2"/>
      <c r="L61" s="2"/>
      <c r="M61" s="2"/>
      <c r="N61" s="2"/>
      <c r="O61" s="15"/>
      <c r="Q61" s="17"/>
      <c r="R61" s="17"/>
      <c r="S61" s="17"/>
      <c r="T61" s="17"/>
      <c r="U61" s="17"/>
    </row>
    <row r="62" spans="6:21" ht="17.649999999999999" x14ac:dyDescent="0.4">
      <c r="Q62" s="17"/>
      <c r="R62" s="17"/>
      <c r="S62" s="17"/>
      <c r="T62" s="17"/>
      <c r="U62" s="17"/>
    </row>
    <row r="65" spans="6:7" s="20" customFormat="1" ht="17.649999999999999" x14ac:dyDescent="0.4">
      <c r="F65" s="20" t="s">
        <v>52</v>
      </c>
    </row>
    <row r="66" spans="6:7" s="20" customFormat="1" ht="17.649999999999999" x14ac:dyDescent="0.4">
      <c r="F66" s="6" t="s">
        <v>53</v>
      </c>
    </row>
    <row r="67" spans="6:7" s="20" customFormat="1" ht="17.649999999999999" x14ac:dyDescent="0.4">
      <c r="F67" s="20" t="s">
        <v>54</v>
      </c>
    </row>
    <row r="68" spans="6:7" s="20" customFormat="1" ht="17.649999999999999" x14ac:dyDescent="0.4">
      <c r="F68" s="20" t="s">
        <v>59</v>
      </c>
    </row>
    <row r="69" spans="6:7" s="20" customFormat="1" ht="17.649999999999999" x14ac:dyDescent="0.4">
      <c r="F69" s="20" t="s">
        <v>55</v>
      </c>
    </row>
    <row r="70" spans="6:7" s="20" customFormat="1" ht="17.649999999999999" x14ac:dyDescent="0.4">
      <c r="F70" s="6" t="s">
        <v>56</v>
      </c>
    </row>
    <row r="71" spans="6:7" s="20" customFormat="1" ht="19.149999999999999" customHeight="1" x14ac:dyDescent="0.4">
      <c r="F71" s="20" t="s">
        <v>57</v>
      </c>
    </row>
    <row r="72" spans="6:7" s="20" customFormat="1" ht="19.149999999999999" customHeight="1" x14ac:dyDescent="0.4">
      <c r="F72" s="20" t="s">
        <v>60</v>
      </c>
    </row>
    <row r="73" spans="6:7" s="20" customFormat="1" ht="17.649999999999999" x14ac:dyDescent="0.4">
      <c r="F73" s="20" t="s">
        <v>58</v>
      </c>
    </row>
    <row r="74" spans="6:7" s="20" customFormat="1" ht="26.65" customHeight="1" x14ac:dyDescent="0.4">
      <c r="F74" s="21" t="s">
        <v>61</v>
      </c>
    </row>
    <row r="75" spans="6:7" s="20" customFormat="1" ht="17.649999999999999" x14ac:dyDescent="0.4">
      <c r="F75" s="6" t="s">
        <v>62</v>
      </c>
    </row>
    <row r="76" spans="6:7" s="20" customFormat="1" ht="17.649999999999999" x14ac:dyDescent="0.4">
      <c r="G76" s="22" t="s">
        <v>63</v>
      </c>
    </row>
    <row r="77" spans="6:7" x14ac:dyDescent="0.4">
      <c r="G77" t="s">
        <v>64</v>
      </c>
    </row>
    <row r="79" spans="6:7" x14ac:dyDescent="0.4">
      <c r="G79" s="23" t="s">
        <v>65</v>
      </c>
    </row>
    <row r="80" spans="6:7" x14ac:dyDescent="0.4">
      <c r="G80" t="s">
        <v>66</v>
      </c>
    </row>
    <row r="81" spans="6:7" x14ac:dyDescent="0.4">
      <c r="G81" t="s">
        <v>67</v>
      </c>
    </row>
    <row r="82" spans="6:7" x14ac:dyDescent="0.4">
      <c r="G82" s="23" t="s">
        <v>68</v>
      </c>
    </row>
    <row r="83" spans="6:7" x14ac:dyDescent="0.4">
      <c r="G83" t="s">
        <v>69</v>
      </c>
    </row>
    <row r="84" spans="6:7" ht="17.649999999999999" x14ac:dyDescent="0.4">
      <c r="F84" s="6" t="s">
        <v>70</v>
      </c>
    </row>
    <row r="85" spans="6:7" x14ac:dyDescent="0.4">
      <c r="G85" t="s">
        <v>71</v>
      </c>
    </row>
    <row r="86" spans="6:7" x14ac:dyDescent="0.4">
      <c r="G86" t="s">
        <v>72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Dongdong MA</dc:creator>
  <cp:lastModifiedBy>Dongdong MA</cp:lastModifiedBy>
  <dcterms:created xsi:type="dcterms:W3CDTF">2025-12-29T08:23:43Z</dcterms:created>
  <dcterms:modified xsi:type="dcterms:W3CDTF">2025-12-30T09:46:00Z</dcterms:modified>
</cp:coreProperties>
</file>